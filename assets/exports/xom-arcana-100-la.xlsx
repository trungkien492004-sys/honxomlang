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73d42668b44d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 muc bai" sheetId="1" r:id="Rdc6e6f3655c14ebc"/>
    <x:sheet xmlns:r="http://schemas.openxmlformats.org/officeDocument/2006/relationships" name="Ma hieu ung" sheetId="2" r:id="R6393cbec028b46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1"/>
      <x:color rgb="FF203443"/>
      <x:name val="Arial"/>
    </x:font>
    <x:font>
      <x:b/>
      <x:sz val="11"/>
      <x:color rgb="FFFFFFFF"/>
      <x:name val="Arial"/>
    </x:font>
    <x:font>
      <x:b/>
      <x:sz val="16"/>
      <x:color rgb="FF163C4F"/>
      <x:name val="Arial"/>
    </x:font>
    <x:font>
      <x:sz val="10"/>
      <x:color rgb="FF657783"/>
      <x:name val="Arial"/>
    </x:font>
    <x:font>
      <x:b/>
      <x:sz val="12"/>
      <x:color rgb="FF163C4F"/>
      <x:name val="Arial"/>
    </x:font>
    <x:font>
      <x:b/>
      <x:sz val="11"/>
      <x:color rgb="FF163C4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63C4F"/>
      </x:patternFill>
    </x:fill>
    <x:fill>
      <x:patternFill patternType="solid">
        <x:fgColor rgb="FFFFFFFF"/>
      </x:patternFill>
    </x:fill>
    <x:fill>
      <x:patternFill patternType="solid">
        <x:fgColor rgb="FFEFF5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1353b2955c4cbc" /><Relationship Type="http://schemas.openxmlformats.org/officeDocument/2006/relationships/theme" Target="/xl/theme/theme1.xml" Id="Rbeedd8949c854d88" /><Relationship Type="http://schemas.openxmlformats.org/officeDocument/2006/relationships/sharedStrings" Target="/xl/sharedStrings.xml" Id="Ra2c51dc3ef3b447a" /><Relationship Type="http://schemas.openxmlformats.org/officeDocument/2006/relationships/worksheet" Target="/xl/worksheets/sheet1.xml" Id="Rdc6e6f3655c14ebc" /><Relationship Type="http://schemas.openxmlformats.org/officeDocument/2006/relationships/worksheet" Target="/xl/worksheets/sheet2.xml" Id="R6393cbec028b463b" /></Relationships>
</file>

<file path=xl/tables/table1.xml><?xml version="1.0" encoding="utf-8"?>
<x:table xmlns:x="http://schemas.openxmlformats.org/spreadsheetml/2006/main" id="1" name="CardCatalog" displayName="CardCatalog" ref="A6:V106" headerRowCount="1" totalsRowCount="0" totalsRowShown="0">
  <x:autoFilter ref="A6:V106"/>
  <x:tableColumns count="22">
    <x:tableColumn id="1" name="STT"/>
    <x:tableColumn id="2" name="Mã lá"/>
    <x:tableColumn id="3" name="Tên lá"/>
    <x:tableColumn id="4" name="Loại"/>
    <x:tableColumn id="5" name="Phân loại"/>
    <x:tableColumn id="6" name="Nguyên tố"/>
    <x:tableColumn id="7" name="Tộc"/>
    <x:tableColumn id="8" name="Độ hiếm"/>
    <x:tableColumn id="9" name="Sao"/>
    <x:tableColumn id="10" name="ATK"/>
    <x:tableColumn id="11" name="DEF"/>
    <x:tableColumn id="12" name="Tối đa / bộ"/>
    <x:tableColumn id="13" name="Mô tả đầy đủ"/>
    <x:tableColumn id="14" name="Mã hiệu ứng"/>
    <x:tableColumn id="15" name="Giá trị hiệu ứng"/>
    <x:tableColumn id="16" name="Kích hoạt"/>
    <x:tableColumn id="17" name="Đặc tính (mã)"/>
    <x:tableColumn id="18" name="Tộc hưởng hiệu ứng"/>
    <x:tableColumn id="19" name="Điều kiện triệu hồi"/>
    <x:tableColumn id="20" name="Ảnh trong game"/>
    <x:tableColumn id="21" name="Vị trí bộ bài"/>
    <x:tableColumn id="22" name="Tun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ffectGlossary" displayName="EffectGlossary" ref="A6:D46" headerRowCount="1" totalsRowCount="0" totalsRowShown="0">
  <x:autoFilter ref="A6:D46"/>
  <x:tableColumns count="4">
    <x:tableColumn id="1" name="Mã trong game"/>
    <x:tableColumn id="2" name="Nhóm"/>
    <x:tableColumn id="3" name="Ý nghĩa"/>
    <x:tableColumn id="4" name="Số l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089b06f42f9414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38088fed43a4bea" /></Relationships>
</file>

<file path=xl/worksheets/sheet1.xml><?xml version="1.0" encoding="utf-8"?>
<x:worksheet xmlns:x="http://schemas.openxmlformats.org/spreadsheetml/2006/main">
  <x:sheetPr>
    <x:tabColor rgb="FF163C4F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7" hidden="0" customWidth="1"/>
    <x:col min="2" max="2" width="36" hidden="0" customWidth="1"/>
    <x:col min="3" max="3" width="30" hidden="0" customWidth="1"/>
    <x:col min="4" max="4" width="12" hidden="0" customWidth="1"/>
    <x:col min="5" max="5" width="18" hidden="0" customWidth="1"/>
    <x:col min="6" max="6" width="13" hidden="0" customWidth="1"/>
    <x:col min="7" max="7" width="21" hidden="0" customWidth="1"/>
    <x:col min="8" max="8" width="10" hidden="0" customWidth="1"/>
    <x:col min="9" max="9" width="7" hidden="0" customWidth="1"/>
    <x:col min="10" max="10" width="10" hidden="0" customWidth="1"/>
    <x:col min="11" max="11" width="10" hidden="0" customWidth="1"/>
    <x:col min="12" max="12" width="12" hidden="0" customWidth="1"/>
    <x:col min="13" max="13" width="82" hidden="0" customWidth="1"/>
    <x:col min="14" max="14" width="37" hidden="0" customWidth="1"/>
    <x:col min="15" max="15" width="13" hidden="0" customWidth="1"/>
    <x:col min="16" max="16" width="43" hidden="0" customWidth="1"/>
    <x:col min="17" max="17" width="36" hidden="0" customWidth="1"/>
    <x:col min="18" max="18" width="22" hidden="0" customWidth="1"/>
    <x:col min="19" max="19" width="76" hidden="0" customWidth="1"/>
    <x:col min="20" max="20" width="66" hidden="0" customWidth="1"/>
    <x:col min="21" max="21" width="18" hidden="0" customWidth="1"/>
    <x:col min="22" max="22" width="12" hidden="0" customWidth="1"/>
  </x:cols>
  <x:sheetData>
    <x:row r="1" ht="32" customHeight="1">
      <x:c r="A1" s="6" t="str">
        <x:v>XÓM ARCANA · HỆ THỐNG 100 LÁ BÀI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</x:row>
    <x:row r="2" ht="23" customHeight="1">
      <x:c r="A2" s="7" t="str">
        <x:v>Nguồn: assets/js/memecard_data.js + meme_expansion.js · Bản Extra Deck &amp; Phép/Bẫy 21/10/2026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 ht="23" customHeight="1">
      <x:c r="A3" s="7" t="str">
        <x:v>Dùng bộ lọc ở hàng 6 để kiểm tra. Cột M–T: mô tả, hiệu ứng và điều kiện. Ô trống: không áp dụng.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</x:row>
    <x:row r="4" ht="23" customHeight="1">
      <x:c r="A4" s="2" t="str">
        <x:v>Tổng số lá</x:v>
      </x:c>
      <x:c r="B4" s="12"/>
      <x:c r="C4" s="13" t="n">
        <x:f>COUNTA(C7:C106)</x:f>
        <x:v>100</x:v>
      </x:c>
      <x:c r="D4" s="12" t="str">
        <x:v>Quái</x:v>
      </x:c>
      <x:c r="E4" s="13" t="n">
        <x:f>COUNTIF(D7:D106,"Quái")</x:f>
        <x:v>51</x:v>
      </x:c>
      <x:c r="F4" s="12" t="str">
        <x:v>Phép</x:v>
      </x:c>
      <x:c r="G4" s="13" t="n">
        <x:f>COUNTIF(D7:D106,"Phép")</x:f>
        <x:v>30</x:v>
      </x:c>
      <x:c r="H4" s="12" t="str">
        <x:v>Bẫy</x:v>
      </x:c>
      <x:c r="I4" s="13" t="n">
        <x:f>COUNTIF(D7:D106,"Bẫy")</x:f>
        <x:v>19</x:v>
      </x:c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 ht="23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 ht="34" customHeight="1">
      <x:c r="A6" s="5" t="str">
        <x:v>STT</x:v>
      </x:c>
      <x:c r="B6" s="5" t="str">
        <x:v>Mã lá</x:v>
      </x:c>
      <x:c r="C6" s="5" t="str">
        <x:v>Tên lá</x:v>
      </x:c>
      <x:c r="D6" s="5" t="str">
        <x:v>Loại</x:v>
      </x:c>
      <x:c r="E6" s="5" t="str">
        <x:v>Phân loại</x:v>
      </x:c>
      <x:c r="F6" s="5" t="str">
        <x:v>Nguyên tố</x:v>
      </x:c>
      <x:c r="G6" s="5" t="str">
        <x:v>Tộc</x:v>
      </x:c>
      <x:c r="H6" s="5" t="str">
        <x:v>Độ hiếm</x:v>
      </x:c>
      <x:c r="I6" s="5" t="str">
        <x:v>Sao</x:v>
      </x:c>
      <x:c r="J6" s="5" t="str">
        <x:v>ATK</x:v>
      </x:c>
      <x:c r="K6" s="5" t="str">
        <x:v>DEF</x:v>
      </x:c>
      <x:c r="L6" s="5" t="str">
        <x:v>Tối đa / bộ</x:v>
      </x:c>
      <x:c r="M6" s="5" t="str">
        <x:v>Mô tả đầy đủ</x:v>
      </x:c>
      <x:c r="N6" s="5" t="str">
        <x:v>Mã hiệu ứng</x:v>
      </x:c>
      <x:c r="O6" s="5" t="str">
        <x:v>Giá trị hiệu ứng</x:v>
      </x:c>
      <x:c r="P6" s="5" t="str">
        <x:v>Kích hoạt</x:v>
      </x:c>
      <x:c r="Q6" s="5" t="str">
        <x:v>Đặc tính (mã)</x:v>
      </x:c>
      <x:c r="R6" s="5" t="str">
        <x:v>Tộc hưởng hiệu ứng</x:v>
      </x:c>
      <x:c r="S6" s="5" t="str">
        <x:v>Điều kiện triệu hồi</x:v>
      </x:c>
      <x:c r="T6" s="5" t="str">
        <x:v>Ảnh trong game</x:v>
      </x:c>
      <x:c r="U6" s="5" t="str">
        <x:v>Vị trí bộ bài</x:v>
      </x:c>
      <x:c r="V6" s="5" t="str">
        <x:v>Tuner</x:v>
      </x:c>
    </x:row>
    <x:row r="7" ht="72" customHeight="1">
      <x:c r="A7" s="14" t="n">
        <x:v>1</x:v>
      </x:c>
      <x:c r="B7" s="15" t="str">
        <x:v>trau_tre_len_doi</x:v>
      </x:c>
      <x:c r="C7" s="18" t="str">
        <x:v>Trẩu Tre Lên Đời</x:v>
      </x:c>
      <x:c r="D7" s="16" t="str">
        <x:v>Quái</x:v>
      </x:c>
      <x:c r="E7" s="16" t="str">
        <x:v>Thường</x:v>
      </x:c>
      <x:c r="F7" s="16" t="str">
        <x:v>Phong</x:v>
      </x:c>
      <x:c r="G7" s="16" t="str">
        <x:v>Tộc Trẩu</x:v>
      </x:c>
      <x:c r="H7" s="16" t="str">
        <x:v>N</x:v>
      </x:c>
      <x:c r="I7" s="14" t="n">
        <x:v>3</x:v>
      </x:c>
      <x:c r="J7" s="14" t="n">
        <x:v>1300</x:v>
      </x:c>
      <x:c r="K7" s="14" t="n">
        <x:v>800</x:v>
      </x:c>
      <x:c r="L7" s="14" t="n">
        <x:v>3</x:v>
      </x:c>
      <x:c r="M7" s="15" t="str">
        <x:v>Mới nứt mắt đã đòi làm đại ca xóm. Đi đâu cũng phải có nhạc nền remix mở loa kẹo kéo.</x:v>
      </x:c>
      <x:c r="N7" s="15" t="str"/>
      <x:c r="O7" s="17"/>
      <x:c r="P7" s="15" t="str"/>
      <x:c r="Q7" s="15" t="str"/>
      <x:c r="R7" s="15" t="str"/>
      <x:c r="S7" s="15" t="str">
        <x:v>Triệu hồi thường: không cần hiến tế.</x:v>
      </x:c>
      <x:c r="T7" s="15" t="str">
        <x:v>assets/memecard/art/trau_tre_len_doi.svg</x:v>
      </x:c>
      <x:c r="U7" s="15" t="str">
        <x:v>Main Deck</x:v>
      </x:c>
      <x:c r="V7" s="15" t="str">
        <x:v>Không</x:v>
      </x:c>
    </x:row>
    <x:row r="8" ht="72" customHeight="1">
      <x:c r="A8" s="19" t="n">
        <x:v>2</x:v>
      </x:c>
      <x:c r="B8" s="20" t="str">
        <x:v>co_mat_job</x:v>
      </x:c>
      <x:c r="C8" s="23" t="str">
        <x:v>Cò Mất Job</x:v>
      </x:c>
      <x:c r="D8" s="21" t="str">
        <x:v>Quái</x:v>
      </x:c>
      <x:c r="E8" s="21" t="str">
        <x:v>Thường</x:v>
      </x:c>
      <x:c r="F8" s="21" t="str">
        <x:v>Thủy</x:v>
      </x:c>
      <x:c r="G8" s="21" t="str">
        <x:v>Tộc Lầy</x:v>
      </x:c>
      <x:c r="H8" s="21" t="str">
        <x:v>N</x:v>
      </x:c>
      <x:c r="I8" s="19" t="n">
        <x:v>2</x:v>
      </x:c>
      <x:c r="J8" s="19" t="n">
        <x:v>900</x:v>
      </x:c>
      <x:c r="K8" s="19" t="n">
        <x:v>1100</x:v>
      </x:c>
      <x:c r="L8" s="19" t="n">
        <x:v>3</x:v>
      </x:c>
      <x:c r="M8" s="20" t="str">
        <x:v>Tuner (Điều chỉnh). Thất nghiệp nhưng vẫn ung dung đứng một chân câu cá, đời không gấp gáp.</x:v>
      </x:c>
      <x:c r="N8" s="20" t="str"/>
      <x:c r="O8" s="22"/>
      <x:c r="P8" s="20" t="str"/>
      <x:c r="Q8" s="20" t="str"/>
      <x:c r="R8" s="20" t="str"/>
      <x:c r="S8" s="20" t="str">
        <x:v>Triệu hồi thường: không cần hiến tế.</x:v>
      </x:c>
      <x:c r="T8" s="20" t="str">
        <x:v>assets/memecard/art/co_mat_job.svg</x:v>
      </x:c>
      <x:c r="U8" s="20" t="str">
        <x:v>Main Deck</x:v>
      </x:c>
      <x:c r="V8" s="20" t="str">
        <x:v>Có</x:v>
      </x:c>
    </x:row>
    <x:row r="9" ht="72" customHeight="1">
      <x:c r="A9" s="14" t="n">
        <x:v>3</x:v>
      </x:c>
      <x:c r="B9" s="15" t="str">
        <x:v>ech_xanh_triet_ly</x:v>
      </x:c>
      <x:c r="C9" s="18" t="str">
        <x:v>Ếch Xanh Triết Lý</x:v>
      </x:c>
      <x:c r="D9" s="16" t="str">
        <x:v>Quái</x:v>
      </x:c>
      <x:c r="E9" s="16" t="str">
        <x:v>Thường</x:v>
      </x:c>
      <x:c r="F9" s="16" t="str">
        <x:v>Quang</x:v>
      </x:c>
      <x:c r="G9" s="16" t="str">
        <x:v>Tộc Đầm Lầy</x:v>
      </x:c>
      <x:c r="H9" s="16" t="str">
        <x:v>N</x:v>
      </x:c>
      <x:c r="I9" s="14" t="n">
        <x:v>1</x:v>
      </x:c>
      <x:c r="J9" s="14" t="n">
        <x:v>300</x:v>
      </x:c>
      <x:c r="K9" s="14" t="n">
        <x:v>500</x:v>
      </x:c>
      <x:c r="L9" s="14" t="n">
        <x:v>3</x:v>
      </x:c>
      <x:c r="M9" s="15" t="str">
        <x:v>Tuner (Điều chỉnh). Ngồi trên lá sen cả ngày chỉ để nói những câu thả thính vô nghĩa nhưng nghe rất thấm vào lúc 2 giờ sáng.</x:v>
      </x:c>
      <x:c r="N9" s="15" t="str"/>
      <x:c r="O9" s="17"/>
      <x:c r="P9" s="15" t="str"/>
      <x:c r="Q9" s="15" t="str"/>
      <x:c r="R9" s="15" t="str"/>
      <x:c r="S9" s="15" t="str">
        <x:v>Triệu hồi thường: không cần hiến tế.</x:v>
      </x:c>
      <x:c r="T9" s="15" t="str">
        <x:v>assets/memecard/art/ech_xanh_triet_ly.svg</x:v>
      </x:c>
      <x:c r="U9" s="15" t="str">
        <x:v>Main Deck</x:v>
      </x:c>
      <x:c r="V9" s="15" t="str">
        <x:v>Có</x:v>
      </x:c>
    </x:row>
    <x:row r="10" ht="72" customHeight="1">
      <x:c r="A10" s="19" t="n">
        <x:v>4</x:v>
      </x:c>
      <x:c r="B10" s="20" t="str">
        <x:v>cua_dong_bat_khuat</x:v>
      </x:c>
      <x:c r="C10" s="23" t="str">
        <x:v>Cua Đồng Bất Khuất</x:v>
      </x:c>
      <x:c r="D10" s="21" t="str">
        <x:v>Quái</x:v>
      </x:c>
      <x:c r="E10" s="21" t="str">
        <x:v>Thường</x:v>
      </x:c>
      <x:c r="F10" s="21" t="str">
        <x:v>Hỏa</x:v>
      </x:c>
      <x:c r="G10" s="21" t="str">
        <x:v>Tộc Đầm Lầy</x:v>
      </x:c>
      <x:c r="H10" s="21" t="str">
        <x:v>N</x:v>
      </x:c>
      <x:c r="I10" s="19" t="n">
        <x:v>2</x:v>
      </x:c>
      <x:c r="J10" s="19" t="n">
        <x:v>800</x:v>
      </x:c>
      <x:c r="K10" s="19" t="n">
        <x:v>1500</x:v>
      </x:c>
      <x:c r="L10" s="19" t="n">
        <x:v>3</x:v>
      </x:c>
      <x:c r="M10" s="20" t="str">
        <x:v>Bị lật ngửa bao nhiêu lần vẫn tự lật lại được. Tinh thần thép trong lớp vỏ cứng.</x:v>
      </x:c>
      <x:c r="N10" s="20" t="str"/>
      <x:c r="O10" s="22"/>
      <x:c r="P10" s="20" t="str"/>
      <x:c r="Q10" s="20" t="str"/>
      <x:c r="R10" s="20" t="str"/>
      <x:c r="S10" s="20" t="str">
        <x:v>Triệu hồi thường: không cần hiến tế.</x:v>
      </x:c>
      <x:c r="T10" s="20" t="str">
        <x:v>assets/memecard/art/cua_dong_bat_khuat.svg</x:v>
      </x:c>
      <x:c r="U10" s="20" t="str">
        <x:v>Main Deck</x:v>
      </x:c>
      <x:c r="V10" s="20" t="str">
        <x:v>Không</x:v>
      </x:c>
    </x:row>
    <x:row r="11" ht="72" customHeight="1">
      <x:c r="A11" s="14" t="n">
        <x:v>5</x:v>
      </x:c>
      <x:c r="B11" s="15" t="str">
        <x:v>meo_map_lan_long</x:v>
      </x:c>
      <x:c r="C11" s="18" t="str">
        <x:v>Mèo Map Lăn Lông Lốc</x:v>
      </x:c>
      <x:c r="D11" s="16" t="str">
        <x:v>Quái</x:v>
      </x:c>
      <x:c r="E11" s="16" t="str">
        <x:v>Thường</x:v>
      </x:c>
      <x:c r="F11" s="16" t="str">
        <x:v>Ám</x:v>
      </x:c>
      <x:c r="G11" s="16" t="str">
        <x:v>Tộc Mập</x:v>
      </x:c>
      <x:c r="H11" s="16" t="str">
        <x:v>N</x:v>
      </x:c>
      <x:c r="I11" s="14" t="n">
        <x:v>4</x:v>
      </x:c>
      <x:c r="J11" s="14" t="n">
        <x:v>1600</x:v>
      </x:c>
      <x:c r="K11" s="14" t="n">
        <x:v>1400</x:v>
      </x:c>
      <x:c r="L11" s="14" t="n">
        <x:v>3</x:v>
      </x:c>
      <x:c r="M11" s="15" t="str">
        <x:v>Cân nặng tỉ lệ thuận với độ lầy. Lăn qua là đè bẹp luôn đối thủ, không cần đánh.</x:v>
      </x:c>
      <x:c r="N11" s="15" t="str"/>
      <x:c r="O11" s="17"/>
      <x:c r="P11" s="15" t="str"/>
      <x:c r="Q11" s="15" t="str"/>
      <x:c r="R11" s="15" t="str"/>
      <x:c r="S11" s="15" t="str">
        <x:v>Triệu hồi thường: không cần hiến tế.</x:v>
      </x:c>
      <x:c r="T11" s="15" t="str">
        <x:v>assets/memecard/art/meo_map_lan_long.svg</x:v>
      </x:c>
      <x:c r="U11" s="15" t="str">
        <x:v>Main Deck</x:v>
      </x:c>
      <x:c r="V11" s="15" t="str">
        <x:v>Không</x:v>
      </x:c>
    </x:row>
    <x:row r="12" ht="72" customHeight="1">
      <x:c r="A12" s="19" t="n">
        <x:v>6</x:v>
      </x:c>
      <x:c r="B12" s="20" t="str">
        <x:v>thanh_chui_binh_luan</x:v>
      </x:c>
      <x:c r="C12" s="23" t="str">
        <x:v>Thánh Chửi Bình Luận</x:v>
      </x:c>
      <x:c r="D12" s="21" t="str">
        <x:v>Quái</x:v>
      </x:c>
      <x:c r="E12" s="21" t="str">
        <x:v>Hiệu Ứng</x:v>
      </x:c>
      <x:c r="F12" s="21" t="str">
        <x:v>Cơ</x:v>
      </x:c>
      <x:c r="G12" s="21" t="str">
        <x:v>Tộc Lầy</x:v>
      </x:c>
      <x:c r="H12" s="21" t="str">
        <x:v>R</x:v>
      </x:c>
      <x:c r="I12" s="19" t="n">
        <x:v>4</x:v>
      </x:c>
      <x:c r="J12" s="19" t="n">
        <x:v>1500</x:v>
      </x:c>
      <x:c r="K12" s="19" t="n">
        <x:v>1200</x:v>
      </x:c>
      <x:c r="L12" s="19" t="n">
        <x:v>3</x:v>
      </x:c>
      <x:c r="M12" s="20" t="str">
        <x:v>Khi quái này tấn công, gây thêm 300 sát thương trực diện vì mồm không bao giờ nghỉ.</x:v>
      </x:c>
      <x:c r="N12" s="20" t="str">
        <x:v>burn_n</x:v>
      </x:c>
      <x:c r="O12" s="22" t="n">
        <x:v>300</x:v>
      </x:c>
      <x:c r="P12" s="20" t="str">
        <x:v>Sau tấn công [on_attack]</x:v>
      </x:c>
      <x:c r="Q12" s="20" t="str"/>
      <x:c r="R12" s="20" t="str"/>
      <x:c r="S12" s="20" t="str">
        <x:v>Triệu hồi thường: không cần hiến tế.</x:v>
      </x:c>
      <x:c r="T12" s="20" t="str">
        <x:v>assets/memecard/art/thanh_chui_binh_luan.svg</x:v>
      </x:c>
      <x:c r="U12" s="20" t="str">
        <x:v>Main Deck</x:v>
      </x:c>
      <x:c r="V12" s="20" t="str">
        <x:v>Không</x:v>
      </x:c>
    </x:row>
    <x:row r="13" ht="72" customHeight="1">
      <x:c r="A13" s="14" t="n">
        <x:v>7</x:v>
      </x:c>
      <x:c r="B13" s="15" t="str">
        <x:v>ninja_luon_dem</x:v>
      </x:c>
      <x:c r="C13" s="18" t="str">
        <x:v>Ninja Lượn Đêm</x:v>
      </x:c>
      <x:c r="D13" s="16" t="str">
        <x:v>Quái</x:v>
      </x:c>
      <x:c r="E13" s="16" t="str">
        <x:v>Hiệu Ứng</x:v>
      </x:c>
      <x:c r="F13" s="16" t="str">
        <x:v>Phong</x:v>
      </x:c>
      <x:c r="G13" s="16" t="str">
        <x:v>Tộc Bóng Tối</x:v>
      </x:c>
      <x:c r="H13" s="16" t="str">
        <x:v>R</x:v>
      </x:c>
      <x:c r="I13" s="14" t="n">
        <x:v>4</x:v>
      </x:c>
      <x:c r="J13" s="14" t="n">
        <x:v>1700</x:v>
      </x:c>
      <x:c r="K13" s="14" t="n">
        <x:v>900</x:v>
      </x:c>
      <x:c r="L13" s="14" t="n">
        <x:v>3</x:v>
      </x:c>
      <x:c r="M13" s="15" t="str">
        <x:v>Khi triệu hồi thành công, rút thêm 1 lá bài vì lượn cả đêm tìm được nhiều đồ hời.</x:v>
      </x:c>
      <x:c r="N13" s="15" t="str">
        <x:v>draw_n</x:v>
      </x:c>
      <x:c r="O13" s="17" t="n">
        <x:v>1</x:v>
      </x:c>
      <x:c r="P13" s="15" t="str">
        <x:v>Khi triệu hồi [on_summon]</x:v>
      </x:c>
      <x:c r="Q13" s="15" t="str"/>
      <x:c r="R13" s="15" t="str"/>
      <x:c r="S13" s="15" t="str">
        <x:v>Triệu hồi thường: không cần hiến tế.</x:v>
      </x:c>
      <x:c r="T13" s="15" t="str">
        <x:v>assets/memecard/art/ninja_luon_dem.svg</x:v>
      </x:c>
      <x:c r="U13" s="15" t="str">
        <x:v>Main Deck</x:v>
      </x:c>
      <x:c r="V13" s="15" t="str">
        <x:v>Không</x:v>
      </x:c>
    </x:row>
    <x:row r="14" ht="72" customHeight="1">
      <x:c r="A14" s="19" t="n">
        <x:v>8</x:v>
      </x:c>
      <x:c r="B14" s="20" t="str">
        <x:v>ba_hoa_dam_drama</x:v>
      </x:c>
      <x:c r="C14" s="23" t="str">
        <x:v>Bà Hoả Đam Mê Drama</x:v>
      </x:c>
      <x:c r="D14" s="21" t="str">
        <x:v>Quái</x:v>
      </x:c>
      <x:c r="E14" s="21" t="str">
        <x:v>Hiệu Ứng</x:v>
      </x:c>
      <x:c r="F14" s="21" t="str">
        <x:v>Thủy</x:v>
      </x:c>
      <x:c r="G14" s="21" t="str">
        <x:v>Tộc Hài</x:v>
      </x:c>
      <x:c r="H14" s="21" t="str">
        <x:v>SR</x:v>
      </x:c>
      <x:c r="I14" s="19" t="n">
        <x:v>5</x:v>
      </x:c>
      <x:c r="J14" s="19" t="n">
        <x:v>1900</x:v>
      </x:c>
      <x:c r="K14" s="19" t="n">
        <x:v>1300</x:v>
      </x:c>
      <x:c r="L14" s="19" t="n">
        <x:v>3</x:v>
      </x:c>
      <x:c r="M14" s="20" t="str">
        <x:v>Vừa xuất hiện là cả xóm dậy sóng. Khi triệu hồi thành công, gây ngay 500 sát thương hóng biến.</x:v>
      </x:c>
      <x:c r="N14" s="20" t="str">
        <x:v>burn_n</x:v>
      </x:c>
      <x:c r="O14" s="22" t="n">
        <x:v>500</x:v>
      </x:c>
      <x:c r="P14" s="20" t="str">
        <x:v>Khi triệu hồi [on_summon]</x:v>
      </x:c>
      <x:c r="Q14" s="20" t="str"/>
      <x:c r="R14" s="20" t="str"/>
      <x:c r="S14" s="20" t="str">
        <x:v>Triệu hồi thường: hiến tế 1 quái.</x:v>
      </x:c>
      <x:c r="T14" s="20" t="str">
        <x:v>assets/memecard/art/ba_hoa_dam_drama.svg</x:v>
      </x:c>
      <x:c r="U14" s="20" t="str">
        <x:v>Main Deck</x:v>
      </x:c>
      <x:c r="V14" s="20" t="str">
        <x:v>Không</x:v>
      </x:c>
    </x:row>
    <x:row r="15" ht="72" customHeight="1">
      <x:c r="A15" s="14" t="n">
        <x:v>9</x:v>
      </x:c>
      <x:c r="B15" s="15" t="str">
        <x:v>trum_cuoi_bi_an</x:v>
      </x:c>
      <x:c r="C15" s="18" t="str">
        <x:v>Trùm Cuối Bí Ẩn</x:v>
      </x:c>
      <x:c r="D15" s="16" t="str">
        <x:v>Quái</x:v>
      </x:c>
      <x:c r="E15" s="16" t="str">
        <x:v>Hiệu Ứng</x:v>
      </x:c>
      <x:c r="F15" s="16" t="str">
        <x:v>Quang</x:v>
      </x:c>
      <x:c r="G15" s="16" t="str">
        <x:v>Tộc Bí Ẩn</x:v>
      </x:c>
      <x:c r="H15" s="16" t="str">
        <x:v>UR</x:v>
      </x:c>
      <x:c r="I15" s="14" t="n">
        <x:v>7</x:v>
      </x:c>
      <x:c r="J15" s="14" t="n">
        <x:v>2600</x:v>
      </x:c>
      <x:c r="K15" s="14" t="n">
        <x:v>2000</x:v>
      </x:c>
      <x:c r="L15" s="14" t="n">
        <x:v>3</x:v>
      </x:c>
      <x:c r="M15" s="15" t="str">
        <x:v>Không ai biết mặt thật. Khi triệu hồi thành công, hồi 800 LP vì luôn có quỹ dự phòng khủng.</x:v>
      </x:c>
      <x:c r="N15" s="15" t="str">
        <x:v>heal_n</x:v>
      </x:c>
      <x:c r="O15" s="17" t="n">
        <x:v>800</x:v>
      </x:c>
      <x:c r="P15" s="15" t="str">
        <x:v>Khi triệu hồi [on_summon]</x:v>
      </x:c>
      <x:c r="Q15" s="15" t="str"/>
      <x:c r="R15" s="15" t="str"/>
      <x:c r="S15" s="15" t="str">
        <x:v>Triệu hồi thường: hiến tế 2 quái.</x:v>
      </x:c>
      <x:c r="T15" s="15" t="str">
        <x:v>assets/memecard/art/trum_cuoi_bi_an.svg</x:v>
      </x:c>
      <x:c r="U15" s="15" t="str">
        <x:v>Main Deck</x:v>
      </x:c>
      <x:c r="V15" s="15" t="str">
        <x:v>Không</x:v>
      </x:c>
    </x:row>
    <x:row r="16" ht="72" customHeight="1">
      <x:c r="A16" s="19" t="n">
        <x:v>10</x:v>
      </x:c>
      <x:c r="B16" s="20" t="str">
        <x:v>dao_ham_meme_lord</x:v>
      </x:c>
      <x:c r="C16" s="23" t="str">
        <x:v>Đào Hâm Meme Lord</x:v>
      </x:c>
      <x:c r="D16" s="21" t="str">
        <x:v>Quái</x:v>
      </x:c>
      <x:c r="E16" s="21" t="str">
        <x:v>Hiệu Ứng</x:v>
      </x:c>
      <x:c r="F16" s="21" t="str">
        <x:v>Hỏa</x:v>
      </x:c>
      <x:c r="G16" s="21" t="str">
        <x:v>Tộc Trẩu</x:v>
      </x:c>
      <x:c r="H16" s="21" t="str">
        <x:v>R</x:v>
      </x:c>
      <x:c r="I16" s="19" t="n">
        <x:v>3</x:v>
      </x:c>
      <x:c r="J16" s="19" t="n">
        <x:v>1000</x:v>
      </x:c>
      <x:c r="K16" s="19" t="n">
        <x:v>1000</x:v>
      </x:c>
      <x:c r="L16" s="19" t="n">
        <x:v>3</x:v>
      </x:c>
      <x:c r="M16" s="20" t="str">
        <x:v>Đào bới meme cũ chế lại liên tục. Khi triệu hồi, hồi 400 LP vì biết cách câu thời gian.</x:v>
      </x:c>
      <x:c r="N16" s="20" t="str">
        <x:v>heal_n</x:v>
      </x:c>
      <x:c r="O16" s="22" t="n">
        <x:v>400</x:v>
      </x:c>
      <x:c r="P16" s="20" t="str">
        <x:v>Khi triệu hồi [on_summon]</x:v>
      </x:c>
      <x:c r="Q16" s="20" t="str"/>
      <x:c r="R16" s="20" t="str"/>
      <x:c r="S16" s="20" t="str">
        <x:v>Triệu hồi thường: không cần hiến tế.</x:v>
      </x:c>
      <x:c r="T16" s="20" t="str">
        <x:v>assets/memecard/art/dao_ham_meme_lord.svg</x:v>
      </x:c>
      <x:c r="U16" s="20" t="str">
        <x:v>Main Deck</x:v>
      </x:c>
      <x:c r="V16" s="20" t="str">
        <x:v>Không</x:v>
      </x:c>
    </x:row>
    <x:row r="17" ht="72" customHeight="1">
      <x:c r="A17" s="14" t="n">
        <x:v>11</x:v>
      </x:c>
      <x:c r="B17" s="15" t="str">
        <x:v>anh_grab_da_nhiem</x:v>
      </x:c>
      <x:c r="C17" s="18" t="str">
        <x:v>Anh Grab Đa Nhiệm</x:v>
      </x:c>
      <x:c r="D17" s="16" t="str">
        <x:v>Quái</x:v>
      </x:c>
      <x:c r="E17" s="16" t="str">
        <x:v>Hiệu Ứng</x:v>
      </x:c>
      <x:c r="F17" s="16" t="str">
        <x:v>Ám</x:v>
      </x:c>
      <x:c r="G17" s="16" t="str">
        <x:v>Tộc Lao Động</x:v>
      </x:c>
      <x:c r="H17" s="16" t="str">
        <x:v>R</x:v>
      </x:c>
      <x:c r="I17" s="14" t="n">
        <x:v>4</x:v>
      </x:c>
      <x:c r="J17" s="14" t="n">
        <x:v>1500</x:v>
      </x:c>
      <x:c r="K17" s="14" t="n">
        <x:v>1500</x:v>
      </x:c>
      <x:c r="L17" s="14" t="n">
        <x:v>3</x:v>
      </x:c>
      <x:c r="M17" s="15" t="str">
        <x:v>Vừa chạy xe vừa nghe đơn vừa nghĩ chuyện đời. Triệu hồi thành công thì rút thêm 1 lá vì giỏi xử lý đa luồng.</x:v>
      </x:c>
      <x:c r="N17" s="15" t="str">
        <x:v>draw_n</x:v>
      </x:c>
      <x:c r="O17" s="17" t="n">
        <x:v>1</x:v>
      </x:c>
      <x:c r="P17" s="15" t="str">
        <x:v>Khi triệu hồi [on_summon]</x:v>
      </x:c>
      <x:c r="Q17" s="15" t="str"/>
      <x:c r="R17" s="15" t="str"/>
      <x:c r="S17" s="15" t="str">
        <x:v>Triệu hồi thường: không cần hiến tế.</x:v>
      </x:c>
      <x:c r="T17" s="15" t="str">
        <x:v>assets/memecard/art/anh_grab_da_nhiem.svg</x:v>
      </x:c>
      <x:c r="U17" s="15" t="str">
        <x:v>Main Deck</x:v>
      </x:c>
      <x:c r="V17" s="15" t="str">
        <x:v>Không</x:v>
      </x:c>
    </x:row>
    <x:row r="18" ht="72" customHeight="1">
      <x:c r="A18" s="19" t="n">
        <x:v>12</x:v>
      </x:c>
      <x:c r="B18" s="20" t="str">
        <x:v>co_vy_dang_so</x:v>
      </x:c>
      <x:c r="C18" s="23" t="str">
        <x:v>Cô Vy Đáng Sợ</x:v>
      </x:c>
      <x:c r="D18" s="21" t="str">
        <x:v>Quái</x:v>
      </x:c>
      <x:c r="E18" s="21" t="str">
        <x:v>Hiệu Ứng</x:v>
      </x:c>
      <x:c r="F18" s="21" t="str">
        <x:v>Cơ</x:v>
      </x:c>
      <x:c r="G18" s="21" t="str">
        <x:v>Tộc Vô Hình</x:v>
      </x:c>
      <x:c r="H18" s="21" t="str">
        <x:v>SR</x:v>
      </x:c>
      <x:c r="I18" s="19" t="n">
        <x:v>6</x:v>
      </x:c>
      <x:c r="J18" s="19" t="n">
        <x:v>1800</x:v>
      </x:c>
      <x:c r="K18" s="19" t="n">
        <x:v>600</x:v>
      </x:c>
      <x:c r="L18" s="19" t="n">
        <x:v>3</x:v>
      </x:c>
      <x:c r="M18" s="20" t="str">
        <x:v>Vô hình mà ai cũng sợ. Khi triệu hồi thành công, gây 800 sát thương trực diện không báo trước.</x:v>
      </x:c>
      <x:c r="N18" s="20" t="str">
        <x:v>burn_n</x:v>
      </x:c>
      <x:c r="O18" s="22" t="n">
        <x:v>800</x:v>
      </x:c>
      <x:c r="P18" s="20" t="str">
        <x:v>Khi triệu hồi [on_summon]</x:v>
      </x:c>
      <x:c r="Q18" s="20" t="str"/>
      <x:c r="R18" s="20" t="str"/>
      <x:c r="S18" s="20" t="str">
        <x:v>Triệu hồi thường: hiến tế 1 quái.</x:v>
      </x:c>
      <x:c r="T18" s="20" t="str">
        <x:v>assets/memecard/art/co_vy_dang_so.svg</x:v>
      </x:c>
      <x:c r="U18" s="20" t="str">
        <x:v>Main Deck</x:v>
      </x:c>
      <x:c r="V18" s="20" t="str">
        <x:v>Không</x:v>
      </x:c>
    </x:row>
    <x:row r="19" ht="72" customHeight="1">
      <x:c r="A19" s="14" t="n">
        <x:v>13</x:v>
      </x:c>
      <x:c r="B19" s="15" t="str">
        <x:v>ke_seeding_chuyen_nghiep</x:v>
      </x:c>
      <x:c r="C19" s="18" t="str">
        <x:v>Kẻ Seeding Chuyên Nghiệp</x:v>
      </x:c>
      <x:c r="D19" s="16" t="str">
        <x:v>Quái</x:v>
      </x:c>
      <x:c r="E19" s="16" t="str">
        <x:v>Hiệu Ứng</x:v>
      </x:c>
      <x:c r="F19" s="16" t="str">
        <x:v>Phong</x:v>
      </x:c>
      <x:c r="G19" s="16" t="str">
        <x:v>Tộc Bí Ẩn</x:v>
      </x:c>
      <x:c r="H19" s="16" t="str">
        <x:v>SR</x:v>
      </x:c>
      <x:c r="I19" s="14" t="n">
        <x:v>5</x:v>
      </x:c>
      <x:c r="J19" s="14" t="n">
        <x:v>1700</x:v>
      </x:c>
      <x:c r="K19" s="14" t="n">
        <x:v>1700</x:v>
      </x:c>
      <x:c r="L19" s="14" t="n">
        <x:v>3</x:v>
      </x:c>
      <x:c r="M19" s="15" t="str">
        <x:v>Tấn công xong vẫn kịp tay gõ thêm vài dòng review giả. Khi tấn công, rút thêm 1 lá.</x:v>
      </x:c>
      <x:c r="N19" s="15" t="str">
        <x:v>draw_n</x:v>
      </x:c>
      <x:c r="O19" s="17" t="n">
        <x:v>1</x:v>
      </x:c>
      <x:c r="P19" s="15" t="str">
        <x:v>Sau tấn công [on_attack]</x:v>
      </x:c>
      <x:c r="Q19" s="15" t="str"/>
      <x:c r="R19" s="15" t="str"/>
      <x:c r="S19" s="15" t="str">
        <x:v>Triệu hồi thường: hiến tế 1 quái.</x:v>
      </x:c>
      <x:c r="T19" s="15" t="str">
        <x:v>assets/memecard/art/ke_seeding_chuyen_nghiep.svg</x:v>
      </x:c>
      <x:c r="U19" s="15" t="str">
        <x:v>Main Deck</x:v>
      </x:c>
      <x:c r="V19" s="15" t="str">
        <x:v>Không</x:v>
      </x:c>
    </x:row>
    <x:row r="20" ht="72" customHeight="1">
      <x:c r="A20" s="19" t="n">
        <x:v>14</x:v>
      </x:c>
      <x:c r="B20" s="20" t="str">
        <x:v>thuy_quai_lay_loi</x:v>
      </x:c>
      <x:c r="C20" s="23" t="str">
        <x:v>Thủy Quái Lầy Lội</x:v>
      </x:c>
      <x:c r="D20" s="21" t="str">
        <x:v>Quái</x:v>
      </x:c>
      <x:c r="E20" s="21" t="str">
        <x:v>Hiệu Ứng</x:v>
      </x:c>
      <x:c r="F20" s="21" t="str">
        <x:v>Thủy</x:v>
      </x:c>
      <x:c r="G20" s="21" t="str">
        <x:v>Tộc Đầm Lầy</x:v>
      </x:c>
      <x:c r="H20" s="21" t="str">
        <x:v>SR</x:v>
      </x:c>
      <x:c r="I20" s="19" t="n">
        <x:v>5</x:v>
      </x:c>
      <x:c r="J20" s="19" t="n">
        <x:v>2000</x:v>
      </x:c>
      <x:c r="K20" s="19" t="n">
        <x:v>1000</x:v>
      </x:c>
      <x:c r="L20" s="19" t="n">
        <x:v>3</x:v>
      </x:c>
      <x:c r="M20" s="20" t="str">
        <x:v>Trồi lên từ đáy ao sau cả năm ẩn dật. Mỗi lần tấn công, hồi 300 LP vì bùn rất bổ.</x:v>
      </x:c>
      <x:c r="N20" s="20" t="str">
        <x:v>heal_n</x:v>
      </x:c>
      <x:c r="O20" s="22" t="n">
        <x:v>300</x:v>
      </x:c>
      <x:c r="P20" s="20" t="str">
        <x:v>Sau tấn công [on_attack]</x:v>
      </x:c>
      <x:c r="Q20" s="20" t="str"/>
      <x:c r="R20" s="20" t="str"/>
      <x:c r="S20" s="20" t="str">
        <x:v>Triệu hồi thường: hiến tế 1 quái.</x:v>
      </x:c>
      <x:c r="T20" s="20" t="str">
        <x:v>assets/memecard/art/thuy_quai_lay_loi.svg</x:v>
      </x:c>
      <x:c r="U20" s="20" t="str">
        <x:v>Main Deck</x:v>
      </x:c>
      <x:c r="V20" s="20" t="str">
        <x:v>Không</x:v>
      </x:c>
    </x:row>
    <x:row r="21" ht="72" customHeight="1">
      <x:c r="A21" s="14" t="n">
        <x:v>15</x:v>
      </x:c>
      <x:c r="B21" s="15" t="str">
        <x:v>dai_de_trau_tre_toi_thuong</x:v>
      </x:c>
      <x:c r="C21" s="18" t="str">
        <x:v>Đại Đế Trẩu Tre Tối Thượng</x:v>
      </x:c>
      <x:c r="D21" s="16" t="str">
        <x:v>Quái</x:v>
      </x:c>
      <x:c r="E21" s="16" t="str">
        <x:v>Đồng Bộ</x:v>
      </x:c>
      <x:c r="F21" s="16" t="str">
        <x:v>Quang</x:v>
      </x:c>
      <x:c r="G21" s="16" t="str">
        <x:v>Tộc Trẩu</x:v>
      </x:c>
      <x:c r="H21" s="16" t="str">
        <x:v>UR</x:v>
      </x:c>
      <x:c r="I21" s="14" t="n">
        <x:v>8</x:v>
      </x:c>
      <x:c r="J21" s="14" t="n">
        <x:v>2800</x:v>
      </x:c>
      <x:c r="K21" s="14" t="n">
        <x:v>2200</x:v>
      </x:c>
      <x:c r="L21" s="14" t="n">
        <x:v>3</x:v>
      </x:c>
      <x:c r="M21" s="15" t="str">
        <x:v>Đồng Bộ từ Extra Deck: 1 Tuner + ít nhất 1 quái không phải Tuner đang ngửa, tổng đúng 8 sao. Đỉnh của chóp trong giới trẩu tre, tay lái cứng tới mức không ai dám cà khịa.</x:v>
      </x:c>
      <x:c r="N21" s="15" t="str"/>
      <x:c r="O21" s="17"/>
      <x:c r="P21" s="15" t="str"/>
      <x:c r="Q21" s="15" t="str"/>
      <x:c r="R21" s="15" t="str"/>
      <x:c r="S21" s="15" t="str">
        <x:v>Từ Extra Deck: 1 Tuner + ít nhất 1 quái không Tuner đang ngửa; tổng đúng 8 sao.</x:v>
      </x:c>
      <x:c r="T21" s="15" t="str">
        <x:v>assets/memecard/art/dai_de_trau_tre_toi_thuong.svg</x:v>
      </x:c>
      <x:c r="U21" s="15" t="str">
        <x:v>Extra Deck</x:v>
      </x:c>
      <x:c r="V21" s="15" t="str">
        <x:v>Không</x:v>
      </x:c>
    </x:row>
    <x:row r="22" ht="72" customHeight="1">
      <x:c r="A22" s="19" t="n">
        <x:v>16</x:v>
      </x:c>
      <x:c r="B22" s="20" t="str">
        <x:v>quai_vat_lay_loi_toi_thuong</x:v>
      </x:c>
      <x:c r="C22" s="23" t="str">
        <x:v>Quái Vật Lầy Lội Tối Thượng</x:v>
      </x:c>
      <x:c r="D22" s="21" t="str">
        <x:v>Quái</x:v>
      </x:c>
      <x:c r="E22" s="21" t="str">
        <x:v>Đồng Bộ</x:v>
      </x:c>
      <x:c r="F22" s="21" t="str">
        <x:v>Hỏa</x:v>
      </x:c>
      <x:c r="G22" s="21" t="str">
        <x:v>Tộc Đầm Lầy</x:v>
      </x:c>
      <x:c r="H22" s="21" t="str">
        <x:v>UR</x:v>
      </x:c>
      <x:c r="I22" s="19" t="n">
        <x:v>9</x:v>
      </x:c>
      <x:c r="J22" s="19" t="n">
        <x:v>3000</x:v>
      </x:c>
      <x:c r="K22" s="19" t="n">
        <x:v>2500</x:v>
      </x:c>
      <x:c r="L22" s="19" t="n">
        <x:v>3</x:v>
      </x:c>
      <x:c r="M22" s="20" t="str">
        <x:v>Đồng Bộ từ Extra Deck: 1 Tuner + ít nhất 1 quái không phải Tuner đang ngửa, tổng đúng 9 sao. Lầy đến mức cả vũ trụ phải nể.</x:v>
      </x:c>
      <x:c r="N22" s="20" t="str"/>
      <x:c r="O22" s="22"/>
      <x:c r="P22" s="20" t="str"/>
      <x:c r="Q22" s="20" t="str"/>
      <x:c r="R22" s="20" t="str"/>
      <x:c r="S22" s="20" t="str">
        <x:v>Từ Extra Deck: 1 Tuner + ít nhất 1 quái không Tuner đang ngửa; tổng đúng 9 sao.</x:v>
      </x:c>
      <x:c r="T22" s="20" t="str">
        <x:v>assets/memecard/art/quai_vat_lay_loi_toi_thuong.svg</x:v>
      </x:c>
      <x:c r="U22" s="20" t="str">
        <x:v>Extra Deck</x:v>
      </x:c>
      <x:c r="V22" s="20" t="str">
        <x:v>Không</x:v>
      </x:c>
    </x:row>
    <x:row r="23" ht="72" customHeight="1">
      <x:c r="A23" s="14" t="n">
        <x:v>17</x:v>
      </x:c>
      <x:c r="B23" s="15" t="str">
        <x:v>than_linh_hon_trau</x:v>
      </x:c>
      <x:c r="C23" s="18" t="str">
        <x:v>Thần Linh Hồn Trẩu</x:v>
      </x:c>
      <x:c r="D23" s="16" t="str">
        <x:v>Quái</x:v>
      </x:c>
      <x:c r="E23" s="16" t="str">
        <x:v>Nghi Lễ</x:v>
      </x:c>
      <x:c r="F23" s="16" t="str">
        <x:v>Ám</x:v>
      </x:c>
      <x:c r="G23" s="16" t="str">
        <x:v>Tộc Thần Thoại</x:v>
      </x:c>
      <x:c r="H23" s="16" t="str">
        <x:v>UR</x:v>
      </x:c>
      <x:c r="I23" s="14" t="n">
        <x:v>8</x:v>
      </x:c>
      <x:c r="J23" s="14" t="n">
        <x:v>2700</x:v>
      </x:c>
      <x:c r="K23" s="14" t="n">
        <x:v>2300</x:v>
      </x:c>
      <x:c r="L23" s="14" t="n">
        <x:v>3</x:v>
      </x:c>
      <x:c r="M23" s="15" t="str">
        <x:v>Triệu hồi Nghi Lễ bằng bài [Nghi Lễ Gọi Hồn Trẩu Tre], hiến tế quái thú đủ tổng 8 sao trở lên. Linh hồn của vạn con trẩu tre đã từng ngã xe hợp nhất thành một.</x:v>
      </x:c>
      <x:c r="N23" s="15" t="str"/>
      <x:c r="O23" s="17"/>
      <x:c r="P23" s="15" t="str"/>
      <x:c r="Q23" s="15" t="str"/>
      <x:c r="R23" s="15" t="str"/>
      <x:c r="S23" s="15" t="str">
        <x:v>Nghi Lễ từ tay: Nghi Lễ Gọi Hồn Trẩu Tre; tổng hiến tế ≥ 8 sao.</x:v>
      </x:c>
      <x:c r="T23" s="15" t="str">
        <x:v>assets/memecard/art/than_linh_hon_trau.svg</x:v>
      </x:c>
      <x:c r="U23" s="15" t="str">
        <x:v>Main Deck</x:v>
      </x:c>
      <x:c r="V23" s="15" t="str">
        <x:v>Không</x:v>
      </x:c>
    </x:row>
    <x:row r="24" ht="72" customHeight="1">
      <x:c r="A24" s="19" t="n">
        <x:v>18</x:v>
      </x:c>
      <x:c r="B24" s="20" t="str">
        <x:v>hot_via</x:v>
      </x:c>
      <x:c r="C24" s="23" t="str">
        <x:v>Hốt Vía</x:v>
      </x:c>
      <x:c r="D24" s="21" t="str">
        <x:v>Phép</x:v>
      </x:c>
      <x:c r="E24" s="21" t="str">
        <x:v>Thường</x:v>
      </x:c>
      <x:c r="F24" s="21" t="str">
        <x:v>Cơ</x:v>
      </x:c>
      <x:c r="G24" s="21" t="str"/>
      <x:c r="H24" s="21" t="str">
        <x:v>R</x:v>
      </x:c>
      <x:c r="I24" s="19"/>
      <x:c r="J24" s="19"/>
      <x:c r="K24" s="19"/>
      <x:c r="L24" s="19" t="n">
        <x:v>3</x:v>
      </x:c>
      <x:c r="M24" s="20" t="str">
        <x:v>Rút thêm 2 lá bài. Hên xui là chính, nhưng hốt được vía là vui cả ngày.</x:v>
      </x:c>
      <x:c r="N24" s="20" t="str">
        <x:v>draw_n</x:v>
      </x:c>
      <x:c r="O24" s="22" t="n">
        <x:v>2</x:v>
      </x:c>
      <x:c r="P24" s="20" t="str">
        <x:v>MAIN của bạn</x:v>
      </x:c>
      <x:c r="Q24" s="20" t="str"/>
      <x:c r="R24" s="20" t="str"/>
      <x:c r="S24" s="20" t="str"/>
      <x:c r="T24" s="20" t="str">
        <x:v>assets/memecard/art/hot_via.svg</x:v>
      </x:c>
      <x:c r="U24" s="20" t="str">
        <x:v>Main Deck</x:v>
      </x:c>
      <x:c r="V24" s="20" t="str">
        <x:v>Không</x:v>
      </x:c>
    </x:row>
    <x:row r="25" ht="72" customHeight="1">
      <x:c r="A25" s="14" t="n">
        <x:v>19</x:v>
      </x:c>
      <x:c r="B25" s="15" t="str">
        <x:v>dinh_cua_chop</x:v>
      </x:c>
      <x:c r="C25" s="18" t="str">
        <x:v>Đỉnh Của Chóp</x:v>
      </x:c>
      <x:c r="D25" s="16" t="str">
        <x:v>Phép</x:v>
      </x:c>
      <x:c r="E25" s="16" t="str">
        <x:v>Thường</x:v>
      </x:c>
      <x:c r="F25" s="16" t="str">
        <x:v>Phong</x:v>
      </x:c>
      <x:c r="G25" s="16" t="str"/>
      <x:c r="H25" s="16" t="str">
        <x:v>R</x:v>
      </x:c>
      <x:c r="I25" s="14"/>
      <x:c r="J25" s="14"/>
      <x:c r="K25" s="14"/>
      <x:c r="L25" s="14" t="n">
        <x:v>3</x:v>
      </x:c>
      <x:c r="M25" s="15" t="str">
        <x:v>Hồi 800 LP. Tự tin tuyên bố mình đỉnh nhất xóm, năng lượng tích cực lan toả tức thì.</x:v>
      </x:c>
      <x:c r="N25" s="15" t="str">
        <x:v>heal_n</x:v>
      </x:c>
      <x:c r="O25" s="17" t="n">
        <x:v>800</x:v>
      </x:c>
      <x:c r="P25" s="15" t="str">
        <x:v>MAIN của bạn</x:v>
      </x:c>
      <x:c r="Q25" s="15" t="str"/>
      <x:c r="R25" s="15" t="str"/>
      <x:c r="S25" s="15" t="str"/>
      <x:c r="T25" s="15" t="str">
        <x:v>assets/memecard/art/dinh_cua_chop.svg</x:v>
      </x:c>
      <x:c r="U25" s="15" t="str">
        <x:v>Main Deck</x:v>
      </x:c>
      <x:c r="V25" s="15" t="str">
        <x:v>Không</x:v>
      </x:c>
    </x:row>
    <x:row r="26" ht="72" customHeight="1">
      <x:c r="A26" s="19" t="n">
        <x:v>20</x:v>
      </x:c>
      <x:c r="B26" s="20" t="str">
        <x:v>khum_du_nua_dau</x:v>
      </x:c>
      <x:c r="C26" s="23" t="str">
        <x:v>Khum Đú Nữa Đâu</x:v>
      </x:c>
      <x:c r="D26" s="21" t="str">
        <x:v>Phép</x:v>
      </x:c>
      <x:c r="E26" s="21" t="str">
        <x:v>Nhanh</x:v>
      </x:c>
      <x:c r="F26" s="21" t="str">
        <x:v>Thủy</x:v>
      </x:c>
      <x:c r="G26" s="21" t="str"/>
      <x:c r="H26" s="21" t="str">
        <x:v>R</x:v>
      </x:c>
      <x:c r="I26" s="19"/>
      <x:c r="J26" s="19"/>
      <x:c r="K26" s="19"/>
      <x:c r="L26" s="19" t="n">
        <x:v>3</x:v>
      </x:c>
      <x:c r="M26" s="20" t="str">
        <x:v>Bài Tốc Hành — có thể dùng bất cứ lúc nào, kể cả lượt đối thủ. Bất ngờ dội 400 sát thương trực diện trước khi đối thủ kịp đú theo.</x:v>
      </x:c>
      <x:c r="N26" s="20" t="str">
        <x:v>burn_n</x:v>
      </x:c>
      <x:c r="O26" s="22" t="n">
        <x:v>400</x:v>
      </x:c>
      <x:c r="P26" s="20" t="str">
        <x:v>MAIN của bạn</x:v>
      </x:c>
      <x:c r="Q26" s="20" t="str"/>
      <x:c r="R26" s="20" t="str"/>
      <x:c r="S26" s="20" t="str"/>
      <x:c r="T26" s="20" t="str">
        <x:v>assets/memecard/art/khum_du_nua_dau.svg</x:v>
      </x:c>
      <x:c r="U26" s="20" t="str">
        <x:v>Main Deck</x:v>
      </x:c>
      <x:c r="V26" s="20" t="str">
        <x:v>Không</x:v>
      </x:c>
    </x:row>
    <x:row r="27" ht="72" customHeight="1">
      <x:c r="A27" s="14" t="n">
        <x:v>21</x:v>
      </x:c>
      <x:c r="B27" s="15" t="str">
        <x:v>vong_tay_ban_than</x:v>
      </x:c>
      <x:c r="C27" s="18" t="str">
        <x:v>Vòng Tay Bạn Thân</x:v>
      </x:c>
      <x:c r="D27" s="16" t="str">
        <x:v>Phép</x:v>
      </x:c>
      <x:c r="E27" s="16" t="str">
        <x:v>Trang Bị</x:v>
      </x:c>
      <x:c r="F27" s="16" t="str">
        <x:v>Quang</x:v>
      </x:c>
      <x:c r="G27" s="16" t="str"/>
      <x:c r="H27" s="16" t="str">
        <x:v>R</x:v>
      </x:c>
      <x:c r="I27" s="14"/>
      <x:c r="J27" s="14"/>
      <x:c r="K27" s="14"/>
      <x:c r="L27" s="14" t="n">
        <x:v>3</x:v>
      </x:c>
      <x:c r="M27" s="15" t="str">
        <x:v>Trang bị cho 1 quái thú của bạn: ATK +500. Có bạn thân chống lưng thì đánh đâu thắng đó.</x:v>
      </x:c>
      <x:c r="N27" s="15" t="str">
        <x:v>equip_atk_n</x:v>
      </x:c>
      <x:c r="O27" s="17" t="n">
        <x:v>500</x:v>
      </x:c>
      <x:c r="P27" s="15" t="str">
        <x:v>MAIN của bạn</x:v>
      </x:c>
      <x:c r="Q27" s="15" t="str"/>
      <x:c r="R27" s="15" t="str"/>
      <x:c r="S27" s="15" t="str"/>
      <x:c r="T27" s="15" t="str">
        <x:v>assets/memecard/art/vong_tay_ban_than.svg</x:v>
      </x:c>
      <x:c r="U27" s="15" t="str">
        <x:v>Main Deck</x:v>
      </x:c>
      <x:c r="V27" s="15" t="str">
        <x:v>Không</x:v>
      </x:c>
    </x:row>
    <x:row r="28" ht="72" customHeight="1">
      <x:c r="A28" s="19" t="n">
        <x:v>22</x:v>
      </x:c>
      <x:c r="B28" s="20" t="str">
        <x:v>mam_com_nha_ai_cung_phai_co</x:v>
      </x:c>
      <x:c r="C28" s="23" t="str">
        <x:v>Mâm Cơm Nhà Ai Cũng Phải Có</x:v>
      </x:c>
      <x:c r="D28" s="21" t="str">
        <x:v>Phép</x:v>
      </x:c>
      <x:c r="E28" s="21" t="str">
        <x:v>Liên Tục</x:v>
      </x:c>
      <x:c r="F28" s="21" t="str">
        <x:v>Hỏa</x:v>
      </x:c>
      <x:c r="G28" s="21" t="str"/>
      <x:c r="H28" s="21" t="str">
        <x:v>R</x:v>
      </x:c>
      <x:c r="I28" s="19"/>
      <x:c r="J28" s="19"/>
      <x:c r="K28" s="19"/>
      <x:c r="L28" s="19" t="n">
        <x:v>3</x:v>
      </x:c>
      <x:c r="M28" s="20" t="str">
        <x:v>Bài Liên Tục: trong khi bài này còn trên sân, toàn bộ quái thú Tộc Trẩu của bạn +300 ATK. No bụng rồi mới có sức quẩy.</x:v>
      </x:c>
      <x:c r="N28" s="20" t="str">
        <x:v>continuous_tribe_boost</x:v>
      </x:c>
      <x:c r="O28" s="22" t="n">
        <x:v>300</x:v>
      </x:c>
      <x:c r="P28" s="20" t="str">
        <x:v>MAIN của bạn</x:v>
      </x:c>
      <x:c r="Q28" s="20" t="str"/>
      <x:c r="R28" s="20" t="str">
        <x:v>Tộc Trẩu</x:v>
      </x:c>
      <x:c r="S28" s="20" t="str"/>
      <x:c r="T28" s="20" t="str">
        <x:v>assets/memecard/art/mam_com_nha_ai_cung_phai_co.svg</x:v>
      </x:c>
      <x:c r="U28" s="20" t="str">
        <x:v>Main Deck</x:v>
      </x:c>
      <x:c r="V28" s="20" t="str">
        <x:v>Không</x:v>
      </x:c>
    </x:row>
    <x:row r="29" ht="72" customHeight="1">
      <x:c r="A29" s="14" t="n">
        <x:v>23</x:v>
      </x:c>
      <x:c r="B29" s="15" t="str">
        <x:v>vung_dat_lay_vinh_cuu</x:v>
      </x:c>
      <x:c r="C29" s="18" t="str">
        <x:v>Vùng Đất Lầy Vĩnh Cửu</x:v>
      </x:c>
      <x:c r="D29" s="16" t="str">
        <x:v>Phép</x:v>
      </x:c>
      <x:c r="E29" s="16" t="str">
        <x:v>Môi Trường</x:v>
      </x:c>
      <x:c r="F29" s="16" t="str">
        <x:v>Ám</x:v>
      </x:c>
      <x:c r="G29" s="16" t="str"/>
      <x:c r="H29" s="16" t="str">
        <x:v>R</x:v>
      </x:c>
      <x:c r="I29" s="14"/>
      <x:c r="J29" s="14"/>
      <x:c r="K29" s="14"/>
      <x:c r="L29" s="14" t="n">
        <x:v>3</x:v>
      </x:c>
      <x:c r="M29" s="15" t="str">
        <x:v>Bài Môi Trường: toàn sân biến thành đầm lầy bất tận. Quái thú Tộc Đầm Lầy của bạn +300 ATK khi bài này còn hiệu lực.</x:v>
      </x:c>
      <x:c r="N29" s="15" t="str">
        <x:v>continuous_tribe_boost</x:v>
      </x:c>
      <x:c r="O29" s="17" t="n">
        <x:v>300</x:v>
      </x:c>
      <x:c r="P29" s="15" t="str">
        <x:v>MAIN của bạn</x:v>
      </x:c>
      <x:c r="Q29" s="15" t="str"/>
      <x:c r="R29" s="15" t="str">
        <x:v>Tộc Đầm Lầy</x:v>
      </x:c>
      <x:c r="S29" s="15" t="str"/>
      <x:c r="T29" s="15" t="str">
        <x:v>assets/memecard/art/vung_dat_lay_vinh_cuu.svg</x:v>
      </x:c>
      <x:c r="U29" s="15" t="str">
        <x:v>Main Deck</x:v>
      </x:c>
      <x:c r="V29" s="15" t="str">
        <x:v>Không</x:v>
      </x:c>
    </x:row>
    <x:row r="30" ht="72" customHeight="1">
      <x:c r="A30" s="19" t="n">
        <x:v>24</x:v>
      </x:c>
      <x:c r="B30" s="20" t="str">
        <x:v>nghi_le_goi_hon_trau_tre</x:v>
      </x:c>
      <x:c r="C30" s="23" t="str">
        <x:v>Nghi Lễ Gọi Hồn Trẩu Tre</x:v>
      </x:c>
      <x:c r="D30" s="21" t="str">
        <x:v>Phép</x:v>
      </x:c>
      <x:c r="E30" s="21" t="str">
        <x:v>Nghi Lễ</x:v>
      </x:c>
      <x:c r="F30" s="21" t="str">
        <x:v>Cơ</x:v>
      </x:c>
      <x:c r="G30" s="21" t="str"/>
      <x:c r="H30" s="21" t="str">
        <x:v>N</x:v>
      </x:c>
      <x:c r="I30" s="19"/>
      <x:c r="J30" s="19"/>
      <x:c r="K30" s="19"/>
      <x:c r="L30" s="19" t="n">
        <x:v>3</x:v>
      </x:c>
      <x:c r="M30" s="20" t="str">
        <x:v>Dùng để Triệu hồi Nghi Lễ [Thần Linh Hồn Trẩu]. Hiến tế quái thú trên tay/sân có tổng sao theo đúng yêu cầu của quái thú Nghi Lễ.</x:v>
      </x:c>
      <x:c r="N30" s="20" t="str"/>
      <x:c r="O30" s="22"/>
      <x:c r="P30" s="20" t="str">
        <x:v>MAIN của bạn</x:v>
      </x:c>
      <x:c r="Q30" s="20" t="str"/>
      <x:c r="R30" s="20" t="str"/>
      <x:c r="S30" s="20" t="str"/>
      <x:c r="T30" s="20" t="str">
        <x:v>assets/memecard/art/nghi_le_goi_hon_trau_tre.svg</x:v>
      </x:c>
      <x:c r="U30" s="20" t="str">
        <x:v>Main Deck</x:v>
      </x:c>
      <x:c r="V30" s="20" t="str">
        <x:v>Không</x:v>
      </x:c>
    </x:row>
    <x:row r="31" ht="72" customHeight="1">
      <x:c r="A31" s="14" t="n">
        <x:v>25</x:v>
      </x:c>
      <x:c r="B31" s="15" t="str">
        <x:v>trung_tang_bat_ngo</x:v>
      </x:c>
      <x:c r="C31" s="18" t="str">
        <x:v>Trùng Tang Bất Ngờ</x:v>
      </x:c>
      <x:c r="D31" s="16" t="str">
        <x:v>Phép</x:v>
      </x:c>
      <x:c r="E31" s="16" t="str">
        <x:v>Thường</x:v>
      </x:c>
      <x:c r="F31" s="16" t="str">
        <x:v>Phong</x:v>
      </x:c>
      <x:c r="G31" s="16" t="str"/>
      <x:c r="H31" s="16" t="str">
        <x:v>UR</x:v>
      </x:c>
      <x:c r="I31" s="14"/>
      <x:c r="J31" s="14"/>
      <x:c r="K31" s="14"/>
      <x:c r="L31" s="14" t="n">
        <x:v>1</x:v>
      </x:c>
      <x:c r="M31" s="15" t="str">
        <x:v>Phá hủy toàn bộ quái thú phía đối thủ. Một biến cố không ai ngờ tới, xoá sạch cả sân trong tích tắc. (Giới hạn: tối đa 1 lá trong Deck)</x:v>
      </x:c>
      <x:c r="N31" s="15" t="str">
        <x:v>destroy_all_opponent_monsters</x:v>
      </x:c>
      <x:c r="O31" s="17" t="n">
        <x:v>0</x:v>
      </x:c>
      <x:c r="P31" s="15" t="str">
        <x:v>MAIN của bạn</x:v>
      </x:c>
      <x:c r="Q31" s="15" t="str"/>
      <x:c r="R31" s="15" t="str"/>
      <x:c r="S31" s="15" t="str"/>
      <x:c r="T31" s="15" t="str">
        <x:v>assets/memecard/art/trung_tang_bat_ngo.svg</x:v>
      </x:c>
      <x:c r="U31" s="15" t="str">
        <x:v>Main Deck</x:v>
      </x:c>
      <x:c r="V31" s="15" t="str">
        <x:v>Không</x:v>
      </x:c>
    </x:row>
    <x:row r="32" ht="72" customHeight="1">
      <x:c r="A32" s="19" t="n">
        <x:v>26</x:v>
      </x:c>
      <x:c r="B32" s="20" t="str">
        <x:v>mat_binh_tinh</x:v>
      </x:c>
      <x:c r="C32" s="23" t="str">
        <x:v>Mất Bình Tĩnh</x:v>
      </x:c>
      <x:c r="D32" s="21" t="str">
        <x:v>Bẫy</x:v>
      </x:c>
      <x:c r="E32" s="21" t="str">
        <x:v>Thường</x:v>
      </x:c>
      <x:c r="F32" s="21" t="str">
        <x:v>Thủy</x:v>
      </x:c>
      <x:c r="G32" s="21" t="str"/>
      <x:c r="H32" s="21" t="str">
        <x:v>R</x:v>
      </x:c>
      <x:c r="I32" s="19"/>
      <x:c r="J32" s="19"/>
      <x:c r="K32" s="19"/>
      <x:c r="L32" s="19" t="n">
        <x:v>3</x:v>
      </x:c>
      <x:c r="M32" s="20" t="str">
        <x:v>Lật bài úp này để gây 500 sát thương trực diện. Đối thủ làm bạn nóng mặt nên phải đáp trả ngay.</x:v>
      </x:c>
      <x:c r="N32" s="20" t="str">
        <x:v>burn_n</x:v>
      </x:c>
      <x:c r="O32" s="22" t="n">
        <x:v>500</x:v>
      </x:c>
      <x:c r="P32" s="20" t="str">
        <x:v>MAIN từ lượt sau khi úp</x:v>
      </x:c>
      <x:c r="Q32" s="20" t="str"/>
      <x:c r="R32" s="20" t="str"/>
      <x:c r="S32" s="20" t="str"/>
      <x:c r="T32" s="20" t="str">
        <x:v>assets/memecard/art/mat_binh_tinh.svg</x:v>
      </x:c>
      <x:c r="U32" s="20" t="str">
        <x:v>Main Deck</x:v>
      </x:c>
      <x:c r="V32" s="20" t="str">
        <x:v>Không</x:v>
      </x:c>
    </x:row>
    <x:row r="33" ht="72" customHeight="1">
      <x:c r="A33" s="14" t="n">
        <x:v>27</x:v>
      </x:c>
      <x:c r="B33" s="15" t="str">
        <x:v>dung_do_dung_di_dau</x:v>
      </x:c>
      <x:c r="C33" s="18" t="str">
        <x:v>Đứng Đó Đừng Đi Đâu</x:v>
      </x:c>
      <x:c r="D33" s="16" t="str">
        <x:v>Bẫy</x:v>
      </x:c>
      <x:c r="E33" s="16" t="str">
        <x:v>Phản Đòn</x:v>
      </x:c>
      <x:c r="F33" s="16" t="str">
        <x:v>Quang</x:v>
      </x:c>
      <x:c r="G33" s="16" t="str"/>
      <x:c r="H33" s="16" t="str">
        <x:v>R</x:v>
      </x:c>
      <x:c r="I33" s="14"/>
      <x:c r="J33" s="14"/>
      <x:c r="K33" s="14"/>
      <x:c r="L33" s="14" t="n">
        <x:v>3</x:v>
      </x:c>
      <x:c r="M33" s="15" t="str">
        <x:v>Phản Đòn: Khi đối thủ tuyên bố tấn công, vô hiệu hóa đòn tấn công đó. Đứng yên đó, không ai đi đâu được hết.</x:v>
      </x:c>
      <x:c r="N33" s="15" t="str">
        <x:v>negate_attack</x:v>
      </x:c>
      <x:c r="O33" s="17" t="n">
        <x:v>0</x:v>
      </x:c>
      <x:c r="P33" s="15" t="str">
        <x:v>Tự phản đòn từ lượt sau khi úp</x:v>
      </x:c>
      <x:c r="Q33" s="15" t="str"/>
      <x:c r="R33" s="15" t="str"/>
      <x:c r="S33" s="15" t="str"/>
      <x:c r="T33" s="15" t="str">
        <x:v>assets/memecard/art/dung_do_dung_di_dau.svg</x:v>
      </x:c>
      <x:c r="U33" s="15" t="str">
        <x:v>Main Deck</x:v>
      </x:c>
      <x:c r="V33" s="15" t="str">
        <x:v>Không</x:v>
      </x:c>
    </x:row>
    <x:row r="34" ht="72" customHeight="1">
      <x:c r="A34" s="19" t="n">
        <x:v>28</x:v>
      </x:c>
      <x:c r="B34" s="20" t="str">
        <x:v>gay_ong_dap_lung_ong</x:v>
      </x:c>
      <x:c r="C34" s="23" t="str">
        <x:v>Gậy Ông Đập Lưng Ông</x:v>
      </x:c>
      <x:c r="D34" s="21" t="str">
        <x:v>Bẫy</x:v>
      </x:c>
      <x:c r="E34" s="21" t="str">
        <x:v>Phản Đòn</x:v>
      </x:c>
      <x:c r="F34" s="21" t="str">
        <x:v>Hỏa</x:v>
      </x:c>
      <x:c r="G34" s="21" t="str"/>
      <x:c r="H34" s="21" t="str">
        <x:v>R</x:v>
      </x:c>
      <x:c r="I34" s="19"/>
      <x:c r="J34" s="19"/>
      <x:c r="K34" s="19"/>
      <x:c r="L34" s="19" t="n">
        <x:v>3</x:v>
      </x:c>
      <x:c r="M34" s="20" t="str">
        <x:v>Phản Đòn: Khi đối thủ tuyên bố tấn công, phá huỷ ngay quái thú đang tấn công đó. Gậy của ai thì người đó tự ăn.</x:v>
      </x:c>
      <x:c r="N34" s="20" t="str">
        <x:v>destroy_attacker</x:v>
      </x:c>
      <x:c r="O34" s="22" t="n">
        <x:v>0</x:v>
      </x:c>
      <x:c r="P34" s="20" t="str">
        <x:v>Tự phản đòn từ lượt sau khi úp</x:v>
      </x:c>
      <x:c r="Q34" s="20" t="str"/>
      <x:c r="R34" s="20" t="str"/>
      <x:c r="S34" s="20" t="str"/>
      <x:c r="T34" s="20" t="str">
        <x:v>assets/memecard/art/gay_ong_dap_lung_ong.svg</x:v>
      </x:c>
      <x:c r="U34" s="20" t="str">
        <x:v>Main Deck</x:v>
      </x:c>
      <x:c r="V34" s="20" t="str">
        <x:v>Không</x:v>
      </x:c>
    </x:row>
    <x:row r="35" ht="72" customHeight="1">
      <x:c r="A35" s="14" t="n">
        <x:v>29</x:v>
      </x:c>
      <x:c r="B35" s="15" t="str">
        <x:v>luoi_tang_hinh_lay_loi</x:v>
      </x:c>
      <x:c r="C35" s="18" t="str">
        <x:v>Lưới Tàng Hình Lầy Lội</x:v>
      </x:c>
      <x:c r="D35" s="16" t="str">
        <x:v>Bẫy</x:v>
      </x:c>
      <x:c r="E35" s="16" t="str">
        <x:v>Liên Tục</x:v>
      </x:c>
      <x:c r="F35" s="16" t="str">
        <x:v>Ám</x:v>
      </x:c>
      <x:c r="G35" s="16" t="str"/>
      <x:c r="H35" s="16" t="str">
        <x:v>R</x:v>
      </x:c>
      <x:c r="I35" s="14"/>
      <x:c r="J35" s="14"/>
      <x:c r="K35" s="14"/>
      <x:c r="L35" s="14" t="n">
        <x:v>3</x:v>
      </x:c>
      <x:c r="M35" s="15" t="str">
        <x:v>Bài Liên Tục: trong khi bài này còn trên sân, quái thú Tộc Đầm Lầy của bạn +300 ATK, ẩn mình trong lưới lầy không ai phát hiện được.</x:v>
      </x:c>
      <x:c r="N35" s="15" t="str">
        <x:v>continuous_tribe_boost</x:v>
      </x:c>
      <x:c r="O35" s="17" t="n">
        <x:v>300</x:v>
      </x:c>
      <x:c r="P35" s="15" t="str">
        <x:v>MAIN từ lượt sau khi úp</x:v>
      </x:c>
      <x:c r="Q35" s="15" t="str"/>
      <x:c r="R35" s="15" t="str">
        <x:v>Tộc Đầm Lầy</x:v>
      </x:c>
      <x:c r="S35" s="15" t="str"/>
      <x:c r="T35" s="15" t="str">
        <x:v>assets/memecard/art/luoi_tang_hinh_lay_loi.svg</x:v>
      </x:c>
      <x:c r="U35" s="15" t="str">
        <x:v>Main Deck</x:v>
      </x:c>
      <x:c r="V35" s="15" t="str">
        <x:v>Không</x:v>
      </x:c>
    </x:row>
    <x:row r="36" ht="72" customHeight="1">
      <x:c r="A36" s="19" t="n">
        <x:v>30</x:v>
      </x:c>
      <x:c r="B36" s="20" t="str">
        <x:v>tam_ly_vung_nhu_be_tong</x:v>
      </x:c>
      <x:c r="C36" s="23" t="str">
        <x:v>Tâm Lý Vững Như Bê Tông</x:v>
      </x:c>
      <x:c r="D36" s="21" t="str">
        <x:v>Bẫy</x:v>
      </x:c>
      <x:c r="E36" s="21" t="str">
        <x:v>Thường</x:v>
      </x:c>
      <x:c r="F36" s="21" t="str">
        <x:v>Cơ</x:v>
      </x:c>
      <x:c r="G36" s="21" t="str"/>
      <x:c r="H36" s="21" t="str">
        <x:v>R</x:v>
      </x:c>
      <x:c r="I36" s="19"/>
      <x:c r="J36" s="19"/>
      <x:c r="K36" s="19"/>
      <x:c r="L36" s="19" t="n">
        <x:v>3</x:v>
      </x:c>
      <x:c r="M36" s="20" t="str">
        <x:v>Lật bài úp này để hồi 600 LP. Dù drama cỡ nào cũng giữ được tinh thần thép.</x:v>
      </x:c>
      <x:c r="N36" s="20" t="str">
        <x:v>heal_n</x:v>
      </x:c>
      <x:c r="O36" s="22" t="n">
        <x:v>600</x:v>
      </x:c>
      <x:c r="P36" s="20" t="str">
        <x:v>MAIN từ lượt sau khi úp</x:v>
      </x:c>
      <x:c r="Q36" s="20" t="str"/>
      <x:c r="R36" s="20" t="str"/>
      <x:c r="S36" s="20" t="str"/>
      <x:c r="T36" s="20" t="str">
        <x:v>assets/memecard/art/tam_ly_vung_nhu_be_tong.svg</x:v>
      </x:c>
      <x:c r="U36" s="20" t="str">
        <x:v>Main Deck</x:v>
      </x:c>
      <x:c r="V36" s="20" t="str">
        <x:v>Không</x:v>
      </x:c>
    </x:row>
    <x:row r="37" ht="72" customHeight="1">
      <x:c r="A37" s="14" t="n">
        <x:v>31</x:v>
      </x:c>
      <x:c r="B37" s="15" t="str">
        <x:v>lat_mat_khong_bao_truoc</x:v>
      </x:c>
      <x:c r="C37" s="18" t="str">
        <x:v>Lật Mặt Không Báo Trước</x:v>
      </x:c>
      <x:c r="D37" s="16" t="str">
        <x:v>Bẫy</x:v>
      </x:c>
      <x:c r="E37" s="16" t="str">
        <x:v>Phản Đòn</x:v>
      </x:c>
      <x:c r="F37" s="16" t="str">
        <x:v>Phong</x:v>
      </x:c>
      <x:c r="G37" s="16" t="str"/>
      <x:c r="H37" s="16" t="str">
        <x:v>R</x:v>
      </x:c>
      <x:c r="I37" s="14"/>
      <x:c r="J37" s="14"/>
      <x:c r="K37" s="14"/>
      <x:c r="L37" s="14" t="n">
        <x:v>3</x:v>
      </x:c>
      <x:c r="M37" s="15" t="str">
        <x:v>Phản Đòn: Khi đối thủ tuyên bố tấn công, phá huỷ ngay quái thú tấn công. Vừa thân thiện đó, trở mặt cái là không nhận ra luôn.</x:v>
      </x:c>
      <x:c r="N37" s="15" t="str">
        <x:v>destroy_attacker</x:v>
      </x:c>
      <x:c r="O37" s="17" t="n">
        <x:v>0</x:v>
      </x:c>
      <x:c r="P37" s="15" t="str">
        <x:v>Tự phản đòn từ lượt sau khi úp</x:v>
      </x:c>
      <x:c r="Q37" s="15" t="str"/>
      <x:c r="R37" s="15" t="str"/>
      <x:c r="S37" s="15" t="str"/>
      <x:c r="T37" s="15" t="str">
        <x:v>assets/memecard/art/lat_mat_khong_bao_truoc.svg</x:v>
      </x:c>
      <x:c r="U37" s="15" t="str">
        <x:v>Main Deck</x:v>
      </x:c>
      <x:c r="V37" s="15" t="str">
        <x:v>Không</x:v>
      </x:c>
    </x:row>
    <x:row r="38" ht="72" customHeight="1">
      <x:c r="A38" s="19" t="n">
        <x:v>32</x:v>
      </x:c>
      <x:c r="B38" s="20" t="str">
        <x:v>hiep_si_tra_sua</x:v>
      </x:c>
      <x:c r="C38" s="23" t="str">
        <x:v>Hiệp Sĩ Trà Sữa</x:v>
      </x:c>
      <x:c r="D38" s="21" t="str">
        <x:v>Quái</x:v>
      </x:c>
      <x:c r="E38" s="21" t="str">
        <x:v>Hiệu Ứng</x:v>
      </x:c>
      <x:c r="F38" s="21" t="str">
        <x:v>Thủy</x:v>
      </x:c>
      <x:c r="G38" s="21" t="str">
        <x:v>Tộc Lao Động</x:v>
      </x:c>
      <x:c r="H38" s="21" t="str">
        <x:v>R</x:v>
      </x:c>
      <x:c r="I38" s="19" t="n">
        <x:v>4</x:v>
      </x:c>
      <x:c r="J38" s="19" t="n">
        <x:v>1600</x:v>
      </x:c>
      <x:c r="K38" s="19" t="n">
        <x:v>1200</x:v>
      </x:c>
      <x:c r="L38" s="19" t="n">
        <x:v>3</x:v>
      </x:c>
      <x:c r="M38" s="20" t="str">
        <x:v>Sức mạnh từ trân châu đường đen. Triệu hồi thành công rút thêm 1 lá bài.</x:v>
      </x:c>
      <x:c r="N38" s="20" t="str">
        <x:v>draw_n</x:v>
      </x:c>
      <x:c r="O38" s="22" t="n">
        <x:v>1</x:v>
      </x:c>
      <x:c r="P38" s="20" t="str">
        <x:v>Khi triệu hồi [on_summon]</x:v>
      </x:c>
      <x:c r="Q38" s="20" t="str"/>
      <x:c r="R38" s="20" t="str"/>
      <x:c r="S38" s="20" t="str">
        <x:v>Triệu hồi thường: không cần hiến tế.</x:v>
      </x:c>
      <x:c r="T38" s="20" t="str">
        <x:v>assets/memecard/art/hiep_si_tra_sua.svg</x:v>
      </x:c>
      <x:c r="U38" s="20" t="str">
        <x:v>Main Deck</x:v>
      </x:c>
      <x:c r="V38" s="20" t="str">
        <x:v>Không</x:v>
      </x:c>
    </x:row>
    <x:row r="39" ht="72" customHeight="1">
      <x:c r="A39" s="14" t="n">
        <x:v>33</x:v>
      </x:c>
      <x:c r="B39" s="15" t="str">
        <x:v>kiem_lam_bao_ve</x:v>
      </x:c>
      <x:c r="C39" s="18" t="str">
        <x:v>Kiến Lâm Bảo Vệ</x:v>
      </x:c>
      <x:c r="D39" s="16" t="str">
        <x:v>Quái</x:v>
      </x:c>
      <x:c r="E39" s="16" t="str">
        <x:v>Thường</x:v>
      </x:c>
      <x:c r="F39" s="16" t="str">
        <x:v>Quang</x:v>
      </x:c>
      <x:c r="G39" s="16" t="str">
        <x:v>Tộc Lao Động</x:v>
      </x:c>
      <x:c r="H39" s="16" t="str">
        <x:v>N</x:v>
      </x:c>
      <x:c r="I39" s="14" t="n">
        <x:v>3</x:v>
      </x:c>
      <x:c r="J39" s="14" t="n">
        <x:v>1400</x:v>
      </x:c>
      <x:c r="K39" s="14" t="n">
        <x:v>1000</x:v>
      </x:c>
      <x:c r="L39" s="14" t="n">
        <x:v>3</x:v>
      </x:c>
      <x:c r="M39" s="15" t="str">
        <x:v>Siêu kiến gác chốt cổng làng. Đứng im cũng khiến mọi trẩu tre lạng lách e dè.</x:v>
      </x:c>
      <x:c r="N39" s="15" t="str"/>
      <x:c r="O39" s="17"/>
      <x:c r="P39" s="15" t="str"/>
      <x:c r="Q39" s="15" t="str"/>
      <x:c r="R39" s="15" t="str"/>
      <x:c r="S39" s="15" t="str">
        <x:v>Triệu hồi thường: không cần hiến tế.</x:v>
      </x:c>
      <x:c r="T39" s="15" t="str">
        <x:v>assets/memecard/art/kiem_lam_bao_ve.svg</x:v>
      </x:c>
      <x:c r="U39" s="15" t="str">
        <x:v>Main Deck</x:v>
      </x:c>
      <x:c r="V39" s="15" t="str">
        <x:v>Không</x:v>
      </x:c>
    </x:row>
    <x:row r="40" ht="72" customHeight="1">
      <x:c r="A40" s="19" t="n">
        <x:v>34</x:v>
      </x:c>
      <x:c r="B40" s="20" t="str">
        <x:v>kiem_si_binh_minh</x:v>
      </x:c>
      <x:c r="C40" s="23" t="str">
        <x:v>Kiếm Sĩ Bình Minh</x:v>
      </x:c>
      <x:c r="D40" s="21" t="str">
        <x:v>Quái</x:v>
      </x:c>
      <x:c r="E40" s="21" t="str">
        <x:v>Hiệu Ứng</x:v>
      </x:c>
      <x:c r="F40" s="21" t="str">
        <x:v>Quang</x:v>
      </x:c>
      <x:c r="G40" s="21" t="str">
        <x:v>Tộc Quang</x:v>
      </x:c>
      <x:c r="H40" s="21" t="str">
        <x:v>R</x:v>
      </x:c>
      <x:c r="I40" s="19" t="n">
        <x:v>4</x:v>
      </x:c>
      <x:c r="J40" s="19" t="n">
        <x:v>1650</x:v>
      </x:c>
      <x:c r="K40" s="19" t="n">
        <x:v>1200</x:v>
      </x:c>
      <x:c r="L40" s="19" t="n">
        <x:v>3</x:v>
      </x:c>
      <x:c r="M40" s="20" t="str">
        <x:v>Khi triệu hồi: toàn bộ quái của bạn +300 ATK đến hết lượt này.</x:v>
      </x:c>
      <x:c r="N40" s="20" t="str">
        <x:v>boost_all</x:v>
      </x:c>
      <x:c r="O40" s="22" t="n">
        <x:v>300</x:v>
      </x:c>
      <x:c r="P40" s="20" t="str">
        <x:v>Khi triệu hồi [on_summon]</x:v>
      </x:c>
      <x:c r="Q40" s="20" t="str"/>
      <x:c r="R40" s="20" t="str"/>
      <x:c r="S40" s="20" t="str">
        <x:v>Triệu hồi thường: không cần hiến tế.</x:v>
      </x:c>
      <x:c r="T40" s="20" t="str">
        <x:v>assets/memecard/art/kiem_si_binh_minh.svg</x:v>
      </x:c>
      <x:c r="U40" s="20" t="str">
        <x:v>Main Deck</x:v>
      </x:c>
      <x:c r="V40" s="20" t="str">
        <x:v>Không</x:v>
      </x:c>
    </x:row>
    <x:row r="41" ht="72" customHeight="1">
      <x:c r="A41" s="14" t="n">
        <x:v>35</x:v>
      </x:c>
      <x:c r="B41" s="15" t="str">
        <x:v>long_nhi_hoa_toc</x:v>
      </x:c>
      <x:c r="C41" s="18" t="str">
        <x:v>Long Nhi Hỏa Tốc</x:v>
      </x:c>
      <x:c r="D41" s="16" t="str">
        <x:v>Quái</x:v>
      </x:c>
      <x:c r="E41" s="16" t="str">
        <x:v>Hiệu Ứng</x:v>
      </x:c>
      <x:c r="F41" s="16" t="str">
        <x:v>Hỏa</x:v>
      </x:c>
      <x:c r="G41" s="16" t="str">
        <x:v>Tộc Hỏa</x:v>
      </x:c>
      <x:c r="H41" s="16" t="str">
        <x:v>R</x:v>
      </x:c>
      <x:c r="I41" s="14" t="n">
        <x:v>3</x:v>
      </x:c>
      <x:c r="J41" s="14" t="n">
        <x:v>1350</x:v>
      </x:c>
      <x:c r="K41" s="14" t="n">
        <x:v>700</x:v>
      </x:c>
      <x:c r="L41" s="14" t="n">
        <x:v>3</x:v>
      </x:c>
      <x:c r="M41" s="15" t="str">
        <x:v>Tuner (Điều chỉnh). Khi triệu hồi: gây 300 sát thương LP.</x:v>
      </x:c>
      <x:c r="N41" s="15" t="str">
        <x:v>burn_n</x:v>
      </x:c>
      <x:c r="O41" s="17" t="n">
        <x:v>300</x:v>
      </x:c>
      <x:c r="P41" s="15" t="str">
        <x:v>Khi triệu hồi [on_summon]</x:v>
      </x:c>
      <x:c r="Q41" s="15" t="str"/>
      <x:c r="R41" s="15" t="str"/>
      <x:c r="S41" s="15" t="str">
        <x:v>Triệu hồi thường: không cần hiến tế.</x:v>
      </x:c>
      <x:c r="T41" s="15" t="str">
        <x:v>assets/memecard/art/long_nhi_hoa_toc.svg</x:v>
      </x:c>
      <x:c r="U41" s="15" t="str">
        <x:v>Main Deck</x:v>
      </x:c>
      <x:c r="V41" s="15" t="str">
        <x:v>Có</x:v>
      </x:c>
    </x:row>
    <x:row r="42" ht="72" customHeight="1">
      <x:c r="A42" s="19" t="n">
        <x:v>36</x:v>
      </x:c>
      <x:c r="B42" s="20" t="str">
        <x:v>phap_su_bang_tra</x:v>
      </x:c>
      <x:c r="C42" s="23" t="str">
        <x:v>Pháp Sư Băng Trà</x:v>
      </x:c>
      <x:c r="D42" s="21" t="str">
        <x:v>Quái</x:v>
      </x:c>
      <x:c r="E42" s="21" t="str">
        <x:v>Hiệu Ứng</x:v>
      </x:c>
      <x:c r="F42" s="21" t="str">
        <x:v>Thủy</x:v>
      </x:c>
      <x:c r="G42" s="21" t="str">
        <x:v>Tộc Thủy</x:v>
      </x:c>
      <x:c r="H42" s="21" t="str">
        <x:v>R</x:v>
      </x:c>
      <x:c r="I42" s="19" t="n">
        <x:v>4</x:v>
      </x:c>
      <x:c r="J42" s="19" t="n">
        <x:v>1450</x:v>
      </x:c>
      <x:c r="K42" s="19" t="n">
        <x:v>1700</x:v>
      </x:c>
      <x:c r="L42" s="19" t="n">
        <x:v>3</x:v>
      </x:c>
      <x:c r="M42" s="20" t="str">
        <x:v>Tuner (Điều chỉnh). Khi triệu hồi: quái đối thủ đang có trên sân không thể tấn công trong lượt kế tiếp của họ.</x:v>
      </x:c>
      <x:c r="N42" s="20" t="str">
        <x:v>freeze_all</x:v>
      </x:c>
      <x:c r="O42" s="22" t="n">
        <x:v>1</x:v>
      </x:c>
      <x:c r="P42" s="20" t="str">
        <x:v>Khi triệu hồi [on_summon]</x:v>
      </x:c>
      <x:c r="Q42" s="20" t="str"/>
      <x:c r="R42" s="20" t="str"/>
      <x:c r="S42" s="20" t="str">
        <x:v>Triệu hồi thường: không cần hiến tế.</x:v>
      </x:c>
      <x:c r="T42" s="20" t="str">
        <x:v>assets/memecard/art/phap_su_bang_tra.svg</x:v>
      </x:c>
      <x:c r="U42" s="20" t="str">
        <x:v>Main Deck</x:v>
      </x:c>
      <x:c r="V42" s="20" t="str">
        <x:v>Có</x:v>
      </x:c>
    </x:row>
    <x:row r="43" ht="72" customHeight="1">
      <x:c r="A43" s="14" t="n">
        <x:v>37</x:v>
      </x:c>
      <x:c r="B43" s="15" t="str">
        <x:v>ho_ve_sen_hong</x:v>
      </x:c>
      <x:c r="C43" s="18" t="str">
        <x:v>Hộ Vệ Sen Hồng</x:v>
      </x:c>
      <x:c r="D43" s="16" t="str">
        <x:v>Quái</x:v>
      </x:c>
      <x:c r="E43" s="16" t="str">
        <x:v>Hiệu Ứng</x:v>
      </x:c>
      <x:c r="F43" s="16" t="str">
        <x:v>Phong</x:v>
      </x:c>
      <x:c r="G43" s="16" t="str">
        <x:v>Tộc Phong</x:v>
      </x:c>
      <x:c r="H43" s="16" t="str">
        <x:v>R</x:v>
      </x:c>
      <x:c r="I43" s="14" t="n">
        <x:v>3</x:v>
      </x:c>
      <x:c r="J43" s="14" t="n">
        <x:v>1100</x:v>
      </x:c>
      <x:c r="K43" s="14" t="n">
        <x:v>1900</x:v>
      </x:c>
      <x:c r="L43" s="14" t="n">
        <x:v>3</x:v>
      </x:c>
      <x:c r="M43" s="15" t="str">
        <x:v>Khi triệu hồi: tạo khiên hấp thụ tổng cộng 500 sát thương LP cho bạn.</x:v>
      </x:c>
      <x:c r="N43" s="15" t="str">
        <x:v>shield_n</x:v>
      </x:c>
      <x:c r="O43" s="17" t="n">
        <x:v>500</x:v>
      </x:c>
      <x:c r="P43" s="15" t="str">
        <x:v>Khi triệu hồi [on_summon]</x:v>
      </x:c>
      <x:c r="Q43" s="15" t="str"/>
      <x:c r="R43" s="15" t="str"/>
      <x:c r="S43" s="15" t="str">
        <x:v>Triệu hồi thường: không cần hiến tế.</x:v>
      </x:c>
      <x:c r="T43" s="15" t="str">
        <x:v>assets/memecard/art/ho_ve_sen_hong.svg</x:v>
      </x:c>
      <x:c r="U43" s="15" t="str">
        <x:v>Main Deck</x:v>
      </x:c>
      <x:c r="V43" s="15" t="str">
        <x:v>Không</x:v>
      </x:c>
    </x:row>
    <x:row r="44" ht="72" customHeight="1">
      <x:c r="A44" s="19" t="n">
        <x:v>38</x:v>
      </x:c>
      <x:c r="B44" s="20" t="str">
        <x:v>meo_kiem_khach</x:v>
      </x:c>
      <x:c r="C44" s="23" t="str">
        <x:v>Mèo Kiếm Khách</x:v>
      </x:c>
      <x:c r="D44" s="21" t="str">
        <x:v>Quái</x:v>
      </x:c>
      <x:c r="E44" s="21" t="str">
        <x:v>Thường</x:v>
      </x:c>
      <x:c r="F44" s="21" t="str">
        <x:v>Phong</x:v>
      </x:c>
      <x:c r="G44" s="21" t="str">
        <x:v>Tộc Phong</x:v>
      </x:c>
      <x:c r="H44" s="21" t="str">
        <x:v>N</x:v>
      </x:c>
      <x:c r="I44" s="19" t="n">
        <x:v>4</x:v>
      </x:c>
      <x:c r="J44" s="19" t="n">
        <x:v>1750</x:v>
      </x:c>
      <x:c r="K44" s="19" t="n">
        <x:v>800</x:v>
      </x:c>
      <x:c r="L44" s="19" t="n">
        <x:v>3</x:v>
      </x:c>
      <x:c r="M44" s="20" t="str">
        <x:v>Có thể tấn công tối đa 2 lần mỗi lượt.</x:v>
      </x:c>
      <x:c r="N44" s="20" t="str"/>
      <x:c r="O44" s="22"/>
      <x:c r="P44" s="20" t="str"/>
      <x:c r="Q44" s="20" t="str">
        <x:v>double_attack</x:v>
      </x:c>
      <x:c r="R44" s="20" t="str"/>
      <x:c r="S44" s="20" t="str">
        <x:v>Triệu hồi thường: không cần hiến tế.</x:v>
      </x:c>
      <x:c r="T44" s="20" t="str">
        <x:v>assets/memecard/art/meo_kiem_khach.svg</x:v>
      </x:c>
      <x:c r="U44" s="20" t="str">
        <x:v>Main Deck</x:v>
      </x:c>
      <x:c r="V44" s="20" t="str">
        <x:v>Không</x:v>
      </x:c>
    </x:row>
    <x:row r="45" ht="72" customHeight="1">
      <x:c r="A45" s="14" t="n">
        <x:v>39</x:v>
      </x:c>
      <x:c r="B45" s="15" t="str">
        <x:v>rong_com_chay</x:v>
      </x:c>
      <x:c r="C45" s="18" t="str">
        <x:v>Rồng Cơm Cháy</x:v>
      </x:c>
      <x:c r="D45" s="16" t="str">
        <x:v>Quái</x:v>
      </x:c>
      <x:c r="E45" s="16" t="str">
        <x:v>Thường</x:v>
      </x:c>
      <x:c r="F45" s="16" t="str">
        <x:v>Hỏa</x:v>
      </x:c>
      <x:c r="G45" s="16" t="str">
        <x:v>Tộc Hỏa</x:v>
      </x:c>
      <x:c r="H45" s="16" t="str">
        <x:v>SR</x:v>
      </x:c>
      <x:c r="I45" s="14" t="n">
        <x:v>6</x:v>
      </x:c>
      <x:c r="J45" s="14" t="n">
        <x:v>2300</x:v>
      </x:c>
      <x:c r="K45" s="14" t="n">
        <x:v>1500</x:v>
      </x:c>
      <x:c r="L45" s="14" t="n">
        <x:v>3</x:v>
      </x:c>
      <x:c r="M45" s="15" t="str">
        <x:v>Gây sát thương xuyên thủ bằng chênh lệch ATK và DEF khi đánh quái thế thủ.</x:v>
      </x:c>
      <x:c r="N45" s="15" t="str"/>
      <x:c r="O45" s="17"/>
      <x:c r="P45" s="15" t="str"/>
      <x:c r="Q45" s="15" t="str">
        <x:v>piercing</x:v>
      </x:c>
      <x:c r="R45" s="15" t="str"/>
      <x:c r="S45" s="15" t="str">
        <x:v>Triệu hồi thường: hiến tế 1 quái.</x:v>
      </x:c>
      <x:c r="T45" s="15" t="str">
        <x:v>assets/memecard/art/rong_com_chay.svg</x:v>
      </x:c>
      <x:c r="U45" s="15" t="str">
        <x:v>Main Deck</x:v>
      </x:c>
      <x:c r="V45" s="15" t="str">
        <x:v>Không</x:v>
      </x:c>
    </x:row>
    <x:row r="46" ht="72" customHeight="1">
      <x:c r="A46" s="19" t="n">
        <x:v>40</x:v>
      </x:c>
      <x:c r="B46" s="20" t="str">
        <x:v>nu_vuong_mat_trang</x:v>
      </x:c>
      <x:c r="C46" s="23" t="str">
        <x:v>Nữ Vương Mặt Trăng</x:v>
      </x:c>
      <x:c r="D46" s="21" t="str">
        <x:v>Quái</x:v>
      </x:c>
      <x:c r="E46" s="21" t="str">
        <x:v>Thường</x:v>
      </x:c>
      <x:c r="F46" s="21" t="str">
        <x:v>Ám</x:v>
      </x:c>
      <x:c r="G46" s="21" t="str">
        <x:v>Tộc Ám</x:v>
      </x:c>
      <x:c r="H46" s="21" t="str">
        <x:v>SR</x:v>
      </x:c>
      <x:c r="I46" s="19" t="n">
        <x:v>6</x:v>
      </x:c>
      <x:c r="J46" s="19" t="n">
        <x:v>2200</x:v>
      </x:c>
      <x:c r="K46" s="19" t="n">
        <x:v>1800</x:v>
      </x:c>
      <x:c r="L46" s="19" t="n">
        <x:v>3</x:v>
      </x:c>
      <x:c r="M46" s="20" t="str">
        <x:v>Hồi LP bằng sát thương chiến đấu thực tế lá này gây cho đối thủ.</x:v>
      </x:c>
      <x:c r="N46" s="20" t="str"/>
      <x:c r="O46" s="22"/>
      <x:c r="P46" s="20" t="str"/>
      <x:c r="Q46" s="20" t="str">
        <x:v>lifesteal</x:v>
      </x:c>
      <x:c r="R46" s="20" t="str"/>
      <x:c r="S46" s="20" t="str">
        <x:v>Triệu hồi thường: hiến tế 1 quái.</x:v>
      </x:c>
      <x:c r="T46" s="20" t="str">
        <x:v>assets/memecard/art/nu_vuong_mat_trang.svg</x:v>
      </x:c>
      <x:c r="U46" s="20" t="str">
        <x:v>Main Deck</x:v>
      </x:c>
      <x:c r="V46" s="20" t="str">
        <x:v>Không</x:v>
      </x:c>
    </x:row>
    <x:row r="47" ht="72" customHeight="1">
      <x:c r="A47" s="14" t="n">
        <x:v>41</x:v>
      </x:c>
      <x:c r="B47" s="15" t="str">
        <x:v>chien_binh_giap_giay</x:v>
      </x:c>
      <x:c r="C47" s="18" t="str">
        <x:v>Chiến Binh Giáp Giấy</x:v>
      </x:c>
      <x:c r="D47" s="16" t="str">
        <x:v>Quái</x:v>
      </x:c>
      <x:c r="E47" s="16" t="str">
        <x:v>Thường</x:v>
      </x:c>
      <x:c r="F47" s="16" t="str">
        <x:v>Cơ</x:v>
      </x:c>
      <x:c r="G47" s="16" t="str">
        <x:v>Tộc Cơ</x:v>
      </x:c>
      <x:c r="H47" s="16" t="str">
        <x:v>N</x:v>
      </x:c>
      <x:c r="I47" s="14" t="n">
        <x:v>4</x:v>
      </x:c>
      <x:c r="J47" s="14" t="n">
        <x:v>1500</x:v>
      </x:c>
      <x:c r="K47" s="14" t="n">
        <x:v>1600</x:v>
      </x:c>
      <x:c r="L47" s="14" t="n">
        <x:v>3</x:v>
      </x:c>
      <x:c r="M47" s="15" t="str">
        <x:v>Mỗi lượt, lần đầu bị phá hủy trong chiến đấu sẽ được bảo vệ.</x:v>
      </x:c>
      <x:c r="N47" s="15" t="str"/>
      <x:c r="O47" s="17"/>
      <x:c r="P47" s="15" t="str"/>
      <x:c r="Q47" s="15" t="str">
        <x:v>battle_resist</x:v>
      </x:c>
      <x:c r="R47" s="15" t="str"/>
      <x:c r="S47" s="15" t="str">
        <x:v>Triệu hồi thường: không cần hiến tế.</x:v>
      </x:c>
      <x:c r="T47" s="15" t="str">
        <x:v>assets/memecard/art/chien_binh_giap_giay.svg</x:v>
      </x:c>
      <x:c r="U47" s="15" t="str">
        <x:v>Main Deck</x:v>
      </x:c>
      <x:c r="V47" s="15" t="str">
        <x:v>Không</x:v>
      </x:c>
    </x:row>
    <x:row r="48" ht="72" customHeight="1">
      <x:c r="A48" s="19" t="n">
        <x:v>42</x:v>
      </x:c>
      <x:c r="B48" s="20" t="str">
        <x:v>linh_gac_giay</x:v>
      </x:c>
      <x:c r="C48" s="23" t="str">
        <x:v>Lính Gác Giấy</x:v>
      </x:c>
      <x:c r="D48" s="21" t="str">
        <x:v>Quái</x:v>
      </x:c>
      <x:c r="E48" s="21" t="str">
        <x:v>Thường</x:v>
      </x:c>
      <x:c r="F48" s="21" t="str">
        <x:v>Cơ</x:v>
      </x:c>
      <x:c r="G48" s="21" t="str">
        <x:v>Tộc Cơ</x:v>
      </x:c>
      <x:c r="H48" s="21" t="str">
        <x:v>N</x:v>
      </x:c>
      <x:c r="I48" s="19" t="n">
        <x:v>1</x:v>
      </x:c>
      <x:c r="J48" s="19" t="n">
        <x:v>500</x:v>
      </x:c>
      <x:c r="K48" s="19" t="n">
        <x:v>700</x:v>
      </x:c>
      <x:c r="L48" s="19" t="n">
        <x:v>3</x:v>
      </x:c>
      <x:c r="M48" s="20" t="str">
        <x:v>Lính gác nhỏ của xóm. Có thể được gọi ra bằng hiệu ứng Triệu Tập.</x:v>
      </x:c>
      <x:c r="N48" s="20" t="str"/>
      <x:c r="O48" s="22"/>
      <x:c r="P48" s="20" t="str"/>
      <x:c r="Q48" s="20" t="str"/>
      <x:c r="R48" s="20" t="str"/>
      <x:c r="S48" s="20" t="str">
        <x:v>Triệu hồi thường: không cần hiến tế.</x:v>
      </x:c>
      <x:c r="T48" s="20" t="str">
        <x:v>assets/memecard/art/linh_gac_giay.svg</x:v>
      </x:c>
      <x:c r="U48" s="20" t="str">
        <x:v>Main Deck</x:v>
      </x:c>
      <x:c r="V48" s="20" t="str">
        <x:v>Không</x:v>
      </x:c>
    </x:row>
    <x:row r="49" ht="72" customHeight="1">
      <x:c r="A49" s="14" t="n">
        <x:v>43</x:v>
      </x:c>
      <x:c r="B49" s="15" t="str">
        <x:v>ho_ly_thu_vien</x:v>
      </x:c>
      <x:c r="C49" s="18" t="str">
        <x:v>Hồ Ly Thư Viện</x:v>
      </x:c>
      <x:c r="D49" s="16" t="str">
        <x:v>Quái</x:v>
      </x:c>
      <x:c r="E49" s="16" t="str">
        <x:v>Hiệu Ứng</x:v>
      </x:c>
      <x:c r="F49" s="16" t="str">
        <x:v>Quang</x:v>
      </x:c>
      <x:c r="G49" s="16" t="str">
        <x:v>Tộc Quang</x:v>
      </x:c>
      <x:c r="H49" s="16" t="str">
        <x:v>R</x:v>
      </x:c>
      <x:c r="I49" s="14" t="n">
        <x:v>3</x:v>
      </x:c>
      <x:c r="J49" s="14" t="n">
        <x:v>1000</x:v>
      </x:c>
      <x:c r="K49" s="14" t="n">
        <x:v>1400</x:v>
      </x:c>
      <x:c r="L49" s="14" t="n">
        <x:v>3</x:v>
      </x:c>
      <x:c r="M49" s="15" t="str">
        <x:v>Tuner (Điều chỉnh). Khi triệu hồi: lấy lá Phép đầu tiên trong bộ bài lên tay, rồi xáo bộ bài.</x:v>
      </x:c>
      <x:c r="N49" s="15" t="str">
        <x:v>search_spell</x:v>
      </x:c>
      <x:c r="O49" s="17" t="n">
        <x:v>1</x:v>
      </x:c>
      <x:c r="P49" s="15" t="str">
        <x:v>Khi triệu hồi [on_summon]</x:v>
      </x:c>
      <x:c r="Q49" s="15" t="str"/>
      <x:c r="R49" s="15" t="str"/>
      <x:c r="S49" s="15" t="str">
        <x:v>Triệu hồi thường: không cần hiến tế.</x:v>
      </x:c>
      <x:c r="T49" s="15" t="str">
        <x:v>assets/memecard/art/ho_ly_thu_vien.svg</x:v>
      </x:c>
      <x:c r="U49" s="15" t="str">
        <x:v>Main Deck</x:v>
      </x:c>
      <x:c r="V49" s="15" t="str">
        <x:v>Có</x:v>
      </x:c>
    </x:row>
    <x:row r="50" ht="72" customHeight="1">
      <x:c r="A50" s="19" t="n">
        <x:v>44</x:v>
      </x:c>
      <x:c r="B50" s="20" t="str">
        <x:v>tho_san_bao_dem</x:v>
      </x:c>
      <x:c r="C50" s="23" t="str">
        <x:v>Thợ Săn Bão Đêm</x:v>
      </x:c>
      <x:c r="D50" s="21" t="str">
        <x:v>Quái</x:v>
      </x:c>
      <x:c r="E50" s="21" t="str">
        <x:v>Hiệu Ứng</x:v>
      </x:c>
      <x:c r="F50" s="21" t="str">
        <x:v>Ám</x:v>
      </x:c>
      <x:c r="G50" s="21" t="str">
        <x:v>Tộc Ám</x:v>
      </x:c>
      <x:c r="H50" s="21" t="str">
        <x:v>R</x:v>
      </x:c>
      <x:c r="I50" s="19" t="n">
        <x:v>4</x:v>
      </x:c>
      <x:c r="J50" s="19" t="n">
        <x:v>1700</x:v>
      </x:c>
      <x:c r="K50" s="19" t="n">
        <x:v>1100</x:v>
      </x:c>
      <x:c r="L50" s="19" t="n">
        <x:v>3</x:v>
      </x:c>
      <x:c r="M50" s="20" t="str">
        <x:v>Một lần trong lượt của bạn ở MAIN: phá Phép/Bẫy ở ô đầu tiên đang có bài của đối thủ.</x:v>
      </x:c>
      <x:c r="N50" s="20" t="str">
        <x:v>destroy_spell</x:v>
      </x:c>
      <x:c r="O50" s="22" t="n">
        <x:v>1</x:v>
      </x:c>
      <x:c r="P50" s="20" t="str">
        <x:v>Chủ động ở MAIN [activated]</x:v>
      </x:c>
      <x:c r="Q50" s="20" t="str"/>
      <x:c r="R50" s="20" t="str"/>
      <x:c r="S50" s="20" t="str">
        <x:v>Triệu hồi thường: không cần hiến tế.</x:v>
      </x:c>
      <x:c r="T50" s="20" t="str">
        <x:v>assets/memecard/art/tho_san_bao_dem.svg</x:v>
      </x:c>
      <x:c r="U50" s="20" t="str">
        <x:v>Main Deck</x:v>
      </x:c>
      <x:c r="V50" s="20" t="str">
        <x:v>Không</x:v>
      </x:c>
    </x:row>
    <x:row r="51" ht="72" customHeight="1">
      <x:c r="A51" s="14" t="n">
        <x:v>45</x:v>
      </x:c>
      <x:c r="B51" s="15" t="str">
        <x:v>hai_tac_san_may</x:v>
      </x:c>
      <x:c r="C51" s="18" t="str">
        <x:v>Hải Tặc Săn Mây</x:v>
      </x:c>
      <x:c r="D51" s="16" t="str">
        <x:v>Quái</x:v>
      </x:c>
      <x:c r="E51" s="16" t="str">
        <x:v>Hiệu Ứng</x:v>
      </x:c>
      <x:c r="F51" s="16" t="str">
        <x:v>Thủy</x:v>
      </x:c>
      <x:c r="G51" s="16" t="str">
        <x:v>Tộc Thủy</x:v>
      </x:c>
      <x:c r="H51" s="16" t="str">
        <x:v>R</x:v>
      </x:c>
      <x:c r="I51" s="14" t="n">
        <x:v>4</x:v>
      </x:c>
      <x:c r="J51" s="14" t="n">
        <x:v>1600</x:v>
      </x:c>
      <x:c r="K51" s="14" t="n">
        <x:v>1300</x:v>
      </x:c>
      <x:c r="L51" s="14" t="n">
        <x:v>3</x:v>
      </x:c>
      <x:c r="M51" s="15" t="str">
        <x:v>Khi triệu hồi: lấy một lá Phép gần nhất trong mộ của bạn lên tay.</x:v>
      </x:c>
      <x:c r="N51" s="15" t="str">
        <x:v>recover_grave</x:v>
      </x:c>
      <x:c r="O51" s="17" t="n">
        <x:v>1</x:v>
      </x:c>
      <x:c r="P51" s="15" t="str">
        <x:v>Khi triệu hồi [on_summon]</x:v>
      </x:c>
      <x:c r="Q51" s="15" t="str"/>
      <x:c r="R51" s="15" t="str"/>
      <x:c r="S51" s="15" t="str">
        <x:v>Triệu hồi thường: không cần hiến tế.</x:v>
      </x:c>
      <x:c r="T51" s="15" t="str">
        <x:v>assets/memecard/art/hai_tac_san_may.svg</x:v>
      </x:c>
      <x:c r="U51" s="15" t="str">
        <x:v>Main Deck</x:v>
      </x:c>
      <x:c r="V51" s="15" t="str">
        <x:v>Không</x:v>
      </x:c>
    </x:row>
    <x:row r="52" ht="72" customHeight="1">
      <x:c r="A52" s="19" t="n">
        <x:v>46</x:v>
      </x:c>
      <x:c r="B52" s="20" t="str">
        <x:v>tinh_linh_duong_pho</x:v>
      </x:c>
      <x:c r="C52" s="23" t="str">
        <x:v>Tinh Linh Đường Phố</x:v>
      </x:c>
      <x:c r="D52" s="21" t="str">
        <x:v>Quái</x:v>
      </x:c>
      <x:c r="E52" s="21" t="str">
        <x:v>Hiệu Ứng</x:v>
      </x:c>
      <x:c r="F52" s="21" t="str">
        <x:v>Quang</x:v>
      </x:c>
      <x:c r="G52" s="21" t="str">
        <x:v>Tộc Quang</x:v>
      </x:c>
      <x:c r="H52" s="21" t="str">
        <x:v>R</x:v>
      </x:c>
      <x:c r="I52" s="19" t="n">
        <x:v>2</x:v>
      </x:c>
      <x:c r="J52" s="19" t="n">
        <x:v>700</x:v>
      </x:c>
      <x:c r="K52" s="19" t="n">
        <x:v>900</x:v>
      </x:c>
      <x:c r="L52" s="19" t="n">
        <x:v>3</x:v>
      </x:c>
      <x:c r="M52" s="20" t="str">
        <x:v>Khi bị phá hủy trong chiến đấu hoặc bởi hiệu ứng: hồi 400 LP. Hiến tế không kích hoạt.</x:v>
      </x:c>
      <x:c r="N52" s="20" t="str">
        <x:v>heal_n</x:v>
      </x:c>
      <x:c r="O52" s="22" t="n">
        <x:v>400</x:v>
      </x:c>
      <x:c r="P52" s="20" t="str">
        <x:v>Khi bị phá hủy [on_destroy]</x:v>
      </x:c>
      <x:c r="Q52" s="20" t="str"/>
      <x:c r="R52" s="20" t="str"/>
      <x:c r="S52" s="20" t="str">
        <x:v>Triệu hồi thường: không cần hiến tế.</x:v>
      </x:c>
      <x:c r="T52" s="20" t="str">
        <x:v>assets/memecard/art/tinh_linh_duong_pho.svg</x:v>
      </x:c>
      <x:c r="U52" s="20" t="str">
        <x:v>Main Deck</x:v>
      </x:c>
      <x:c r="V52" s="20" t="str">
        <x:v>Không</x:v>
      </x:c>
    </x:row>
    <x:row r="53" ht="72" customHeight="1">
      <x:c r="A53" s="14" t="n">
        <x:v>47</x:v>
      </x:c>
      <x:c r="B53" s="15" t="str">
        <x:v>ac_mong_deadline</x:v>
      </x:c>
      <x:c r="C53" s="18" t="str">
        <x:v>Ác Mộng Deadline</x:v>
      </x:c>
      <x:c r="D53" s="16" t="str">
        <x:v>Quái</x:v>
      </x:c>
      <x:c r="E53" s="16" t="str">
        <x:v>Hiệu Ứng</x:v>
      </x:c>
      <x:c r="F53" s="16" t="str">
        <x:v>Ám</x:v>
      </x:c>
      <x:c r="G53" s="16" t="str">
        <x:v>Tộc Ám</x:v>
      </x:c>
      <x:c r="H53" s="16" t="str">
        <x:v>SR</x:v>
      </x:c>
      <x:c r="I53" s="14" t="n">
        <x:v>5</x:v>
      </x:c>
      <x:c r="J53" s="14" t="n">
        <x:v>2050</x:v>
      </x:c>
      <x:c r="K53" s="14" t="n">
        <x:v>1400</x:v>
      </x:c>
      <x:c r="L53" s="14" t="n">
        <x:v>3</x:v>
      </x:c>
      <x:c r="M53" s="15" t="str">
        <x:v>Khi triệu hồi: đối thủ bỏ lá có ATK cao nhất trên tay vào mộ (hòa: lá bên trái).</x:v>
      </x:c>
      <x:c r="N53" s="15" t="str">
        <x:v>discard_n</x:v>
      </x:c>
      <x:c r="O53" s="17" t="n">
        <x:v>1</x:v>
      </x:c>
      <x:c r="P53" s="15" t="str">
        <x:v>Khi triệu hồi [on_summon]</x:v>
      </x:c>
      <x:c r="Q53" s="15" t="str"/>
      <x:c r="R53" s="15" t="str"/>
      <x:c r="S53" s="15" t="str">
        <x:v>Triệu hồi thường: hiến tế 1 quái.</x:v>
      </x:c>
      <x:c r="T53" s="15" t="str">
        <x:v>assets/memecard/art/ac_mong_deadline.svg</x:v>
      </x:c>
      <x:c r="U53" s="15" t="str">
        <x:v>Main Deck</x:v>
      </x:c>
      <x:c r="V53" s="15" t="str">
        <x:v>Không</x:v>
      </x:c>
    </x:row>
    <x:row r="54" ht="72" customHeight="1">
      <x:c r="A54" s="19" t="n">
        <x:v>48</x:v>
      </x:c>
      <x:c r="B54" s="20" t="str">
        <x:v>samurai_dep_to_ong</x:v>
      </x:c>
      <x:c r="C54" s="23" t="str">
        <x:v>Samurai Dép Tổ Ong</x:v>
      </x:c>
      <x:c r="D54" s="21" t="str">
        <x:v>Quái</x:v>
      </x:c>
      <x:c r="E54" s="21" t="str">
        <x:v>Thường</x:v>
      </x:c>
      <x:c r="F54" s="21" t="str">
        <x:v>Phong</x:v>
      </x:c>
      <x:c r="G54" s="21" t="str">
        <x:v>Tộc Phong</x:v>
      </x:c>
      <x:c r="H54" s="21" t="str">
        <x:v>N</x:v>
      </x:c>
      <x:c r="I54" s="19" t="n">
        <x:v>4</x:v>
      </x:c>
      <x:c r="J54" s="19" t="n">
        <x:v>1800</x:v>
      </x:c>
      <x:c r="K54" s="19" t="n">
        <x:v>1000</x:v>
      </x:c>
      <x:c r="L54" s="19" t="n">
        <x:v>3</x:v>
      </x:c>
      <x:c r="M54" s="20" t="str">
        <x:v>Kiếm pháp dép tổ ong: gây sát thương xuyên thủ.</x:v>
      </x:c>
      <x:c r="N54" s="20" t="str"/>
      <x:c r="O54" s="22"/>
      <x:c r="P54" s="20" t="str"/>
      <x:c r="Q54" s="20" t="str">
        <x:v>piercing</x:v>
      </x:c>
      <x:c r="R54" s="20" t="str"/>
      <x:c r="S54" s="20" t="str">
        <x:v>Triệu hồi thường: không cần hiến tế.</x:v>
      </x:c>
      <x:c r="T54" s="20" t="str">
        <x:v>assets/memecard/art/samurai_dep_to_ong.svg</x:v>
      </x:c>
      <x:c r="U54" s="20" t="str">
        <x:v>Main Deck</x:v>
      </x:c>
      <x:c r="V54" s="20" t="str">
        <x:v>Không</x:v>
      </x:c>
    </x:row>
    <x:row r="55" ht="72" customHeight="1">
      <x:c r="A55" s="14" t="n">
        <x:v>49</x:v>
      </x:c>
      <x:c r="B55" s="15" t="str">
        <x:v>ky_si_sao_bang</x:v>
      </x:c>
      <x:c r="C55" s="18" t="str">
        <x:v>Kỵ Sĩ Sao Băng</x:v>
      </x:c>
      <x:c r="D55" s="16" t="str">
        <x:v>Quái</x:v>
      </x:c>
      <x:c r="E55" s="16" t="str">
        <x:v>Hiệu Ứng</x:v>
      </x:c>
      <x:c r="F55" s="16" t="str">
        <x:v>Quang</x:v>
      </x:c>
      <x:c r="G55" s="16" t="str">
        <x:v>Tộc Quang</x:v>
      </x:c>
      <x:c r="H55" s="16" t="str">
        <x:v>SR</x:v>
      </x:c>
      <x:c r="I55" s="14" t="n">
        <x:v>5</x:v>
      </x:c>
      <x:c r="J55" s="14" t="n">
        <x:v>2000</x:v>
      </x:c>
      <x:c r="K55" s="14" t="n">
        <x:v>1500</x:v>
      </x:c>
      <x:c r="L55" s="14" t="n">
        <x:v>3</x:v>
      </x:c>
      <x:c r="M55" s="15" t="str">
        <x:v>Sau khi tấn công không bị phản đòn: rút 1 lá.</x:v>
      </x:c>
      <x:c r="N55" s="15" t="str">
        <x:v>draw_n</x:v>
      </x:c>
      <x:c r="O55" s="17" t="n">
        <x:v>1</x:v>
      </x:c>
      <x:c r="P55" s="15" t="str">
        <x:v>Sau tấn công [on_attack]</x:v>
      </x:c>
      <x:c r="Q55" s="15" t="str"/>
      <x:c r="R55" s="15" t="str"/>
      <x:c r="S55" s="15" t="str">
        <x:v>Triệu hồi thường: hiến tế 1 quái.</x:v>
      </x:c>
      <x:c r="T55" s="15" t="str">
        <x:v>assets/memecard/art/ky_si_sao_bang.svg</x:v>
      </x:c>
      <x:c r="U55" s="15" t="str">
        <x:v>Main Deck</x:v>
      </x:c>
      <x:c r="V55" s="15" t="str">
        <x:v>Không</x:v>
      </x:c>
    </x:row>
    <x:row r="56" ht="72" customHeight="1">
      <x:c r="A56" s="19" t="n">
        <x:v>50</x:v>
      </x:c>
      <x:c r="B56" s="20" t="str">
        <x:v>golem_banh_mi</x:v>
      </x:c>
      <x:c r="C56" s="23" t="str">
        <x:v>Golem Bánh Mì</x:v>
      </x:c>
      <x:c r="D56" s="21" t="str">
        <x:v>Quái</x:v>
      </x:c>
      <x:c r="E56" s="21" t="str">
        <x:v>Thường</x:v>
      </x:c>
      <x:c r="F56" s="21" t="str">
        <x:v>Cơ</x:v>
      </x:c>
      <x:c r="G56" s="21" t="str">
        <x:v>Tộc Cơ</x:v>
      </x:c>
      <x:c r="H56" s="21" t="str">
        <x:v>N</x:v>
      </x:c>
      <x:c r="I56" s="19" t="n">
        <x:v>4</x:v>
      </x:c>
      <x:c r="J56" s="19" t="n">
        <x:v>1300</x:v>
      </x:c>
      <x:c r="K56" s="19" t="n">
        <x:v>2100</x:v>
      </x:c>
      <x:c r="L56" s="19" t="n">
        <x:v>3</x:v>
      </x:c>
      <x:c r="M56" s="20" t="str">
        <x:v>Mỗi lượt được bảo vệ khỏi một lần phá hủy trong chiến đấu.</x:v>
      </x:c>
      <x:c r="N56" s="20" t="str"/>
      <x:c r="O56" s="22"/>
      <x:c r="P56" s="20" t="str"/>
      <x:c r="Q56" s="20" t="str">
        <x:v>battle_resist</x:v>
      </x:c>
      <x:c r="R56" s="20" t="str"/>
      <x:c r="S56" s="20" t="str">
        <x:v>Triệu hồi thường: không cần hiến tế.</x:v>
      </x:c>
      <x:c r="T56" s="20" t="str">
        <x:v>assets/memecard/art/golem_banh_mi.svg</x:v>
      </x:c>
      <x:c r="U56" s="20" t="str">
        <x:v>Main Deck</x:v>
      </x:c>
      <x:c r="V56" s="20" t="str">
        <x:v>Không</x:v>
      </x:c>
    </x:row>
    <x:row r="57" ht="72" customHeight="1">
      <x:c r="A57" s="14" t="n">
        <x:v>51</x:v>
      </x:c>
      <x:c r="B57" s="15" t="str">
        <x:v>thien_su_tra_dao</x:v>
      </x:c>
      <x:c r="C57" s="18" t="str">
        <x:v>Thiên Sứ Trà Đào</x:v>
      </x:c>
      <x:c r="D57" s="16" t="str">
        <x:v>Quái</x:v>
      </x:c>
      <x:c r="E57" s="16" t="str">
        <x:v>Hiệu Ứng</x:v>
      </x:c>
      <x:c r="F57" s="16" t="str">
        <x:v>Quang</x:v>
      </x:c>
      <x:c r="G57" s="16" t="str">
        <x:v>Tộc Quang</x:v>
      </x:c>
      <x:c r="H57" s="16" t="str">
        <x:v>R</x:v>
      </x:c>
      <x:c r="I57" s="14" t="n">
        <x:v>4</x:v>
      </x:c>
      <x:c r="J57" s="14" t="n">
        <x:v>1400</x:v>
      </x:c>
      <x:c r="K57" s="14" t="n">
        <x:v>1500</x:v>
      </x:c>
      <x:c r="L57" s="14" t="n">
        <x:v>3</x:v>
      </x:c>
      <x:c r="M57" s="15" t="str">
        <x:v>Một lần trong lượt của bạn ở MAIN: hồi 500 LP.</x:v>
      </x:c>
      <x:c r="N57" s="15" t="str">
        <x:v>heal_n</x:v>
      </x:c>
      <x:c r="O57" s="17" t="n">
        <x:v>500</x:v>
      </x:c>
      <x:c r="P57" s="15" t="str">
        <x:v>Chủ động ở MAIN [activated]</x:v>
      </x:c>
      <x:c r="Q57" s="15" t="str"/>
      <x:c r="R57" s="15" t="str"/>
      <x:c r="S57" s="15" t="str">
        <x:v>Triệu hồi thường: không cần hiến tế.</x:v>
      </x:c>
      <x:c r="T57" s="15" t="str">
        <x:v>assets/memecard/art/thien_su_tra_dao.svg</x:v>
      </x:c>
      <x:c r="U57" s="15" t="str">
        <x:v>Main Deck</x:v>
      </x:c>
      <x:c r="V57" s="15" t="str">
        <x:v>Không</x:v>
      </x:c>
    </x:row>
    <x:row r="58" ht="72" customHeight="1">
      <x:c r="A58" s="19" t="n">
        <x:v>52</x:v>
      </x:c>
      <x:c r="B58" s="20" t="str">
        <x:v>phu_thuy_duong_den</x:v>
      </x:c>
      <x:c r="C58" s="23" t="str">
        <x:v>Phù Thủy Đường Đen</x:v>
      </x:c>
      <x:c r="D58" s="21" t="str">
        <x:v>Quái</x:v>
      </x:c>
      <x:c r="E58" s="21" t="str">
        <x:v>Hiệu Ứng</x:v>
      </x:c>
      <x:c r="F58" s="21" t="str">
        <x:v>Ám</x:v>
      </x:c>
      <x:c r="G58" s="21" t="str">
        <x:v>Tộc Ám</x:v>
      </x:c>
      <x:c r="H58" s="21" t="str">
        <x:v>R</x:v>
      </x:c>
      <x:c r="I58" s="19" t="n">
        <x:v>4</x:v>
      </x:c>
      <x:c r="J58" s="19" t="n">
        <x:v>1550</x:v>
      </x:c>
      <x:c r="K58" s="19" t="n">
        <x:v>1400</x:v>
      </x:c>
      <x:c r="L58" s="19" t="n">
        <x:v>3</x:v>
      </x:c>
      <x:c r="M58" s="20" t="str">
        <x:v>Khi triệu hồi: gửi 2 lá trên cùng bộ bài đối thủ xuống mộ.</x:v>
      </x:c>
      <x:c r="N58" s="20" t="str">
        <x:v>mill_n</x:v>
      </x:c>
      <x:c r="O58" s="22" t="n">
        <x:v>2</x:v>
      </x:c>
      <x:c r="P58" s="20" t="str">
        <x:v>Khi triệu hồi [on_summon]</x:v>
      </x:c>
      <x:c r="Q58" s="20" t="str"/>
      <x:c r="R58" s="20" t="str"/>
      <x:c r="S58" s="20" t="str">
        <x:v>Triệu hồi thường: không cần hiến tế.</x:v>
      </x:c>
      <x:c r="T58" s="20" t="str">
        <x:v>assets/memecard/art/phu_thuy_duong_den.svg</x:v>
      </x:c>
      <x:c r="U58" s="20" t="str">
        <x:v>Main Deck</x:v>
      </x:c>
      <x:c r="V58" s="20" t="str">
        <x:v>Không</x:v>
      </x:c>
    </x:row>
    <x:row r="59" ht="72" customHeight="1">
      <x:c r="A59" s="14" t="n">
        <x:v>53</x:v>
      </x:c>
      <x:c r="B59" s="15" t="str">
        <x:v>ca_voi_tang_may</x:v>
      </x:c>
      <x:c r="C59" s="18" t="str">
        <x:v>Cá Voi Tầng Mây</x:v>
      </x:c>
      <x:c r="D59" s="16" t="str">
        <x:v>Quái</x:v>
      </x:c>
      <x:c r="E59" s="16" t="str">
        <x:v>Hiệu Ứng</x:v>
      </x:c>
      <x:c r="F59" s="16" t="str">
        <x:v>Thủy</x:v>
      </x:c>
      <x:c r="G59" s="16" t="str">
        <x:v>Tộc Thủy</x:v>
      </x:c>
      <x:c r="H59" s="16" t="str">
        <x:v>UR</x:v>
      </x:c>
      <x:c r="I59" s="14" t="n">
        <x:v>7</x:v>
      </x:c>
      <x:c r="J59" s="14" t="n">
        <x:v>2600</x:v>
      </x:c>
      <x:c r="K59" s="14" t="n">
        <x:v>2400</x:v>
      </x:c>
      <x:c r="L59" s="14" t="n">
        <x:v>3</x:v>
      </x:c>
      <x:c r="M59" s="15" t="str">
        <x:v>Khi triệu hồi: trả quái có ATK cao nhất của đối thủ về tay.</x:v>
      </x:c>
      <x:c r="N59" s="15" t="str">
        <x:v>bounce_strongest</x:v>
      </x:c>
      <x:c r="O59" s="17" t="n">
        <x:v>1</x:v>
      </x:c>
      <x:c r="P59" s="15" t="str">
        <x:v>Khi triệu hồi [on_summon]</x:v>
      </x:c>
      <x:c r="Q59" s="15" t="str"/>
      <x:c r="R59" s="15" t="str"/>
      <x:c r="S59" s="15" t="str">
        <x:v>Triệu hồi thường: hiến tế 2 quái.</x:v>
      </x:c>
      <x:c r="T59" s="15" t="str">
        <x:v>assets/memecard/art/ca_voi_tang_may.svg</x:v>
      </x:c>
      <x:c r="U59" s="15" t="str">
        <x:v>Main Deck</x:v>
      </x:c>
      <x:c r="V59" s="15" t="str">
        <x:v>Không</x:v>
      </x:c>
    </x:row>
    <x:row r="60" ht="72" customHeight="1">
      <x:c r="A60" s="19" t="n">
        <x:v>54</x:v>
      </x:c>
      <x:c r="B60" s="20" t="str">
        <x:v>hoa_than_bep_than</x:v>
      </x:c>
      <x:c r="C60" s="23" t="str">
        <x:v>Hỏa Thần Bếp Than</x:v>
      </x:c>
      <x:c r="D60" s="21" t="str">
        <x:v>Quái</x:v>
      </x:c>
      <x:c r="E60" s="21" t="str">
        <x:v>Hiệu Ứng</x:v>
      </x:c>
      <x:c r="F60" s="21" t="str">
        <x:v>Hỏa</x:v>
      </x:c>
      <x:c r="G60" s="21" t="str">
        <x:v>Tộc Hỏa</x:v>
      </x:c>
      <x:c r="H60" s="21" t="str">
        <x:v>UR</x:v>
      </x:c>
      <x:c r="I60" s="19" t="n">
        <x:v>7</x:v>
      </x:c>
      <x:c r="J60" s="19" t="n">
        <x:v>2750</x:v>
      </x:c>
      <x:c r="K60" s="19" t="n">
        <x:v>1900</x:v>
      </x:c>
      <x:c r="L60" s="19" t="n">
        <x:v>3</x:v>
      </x:c>
      <x:c r="M60" s="20" t="str">
        <x:v>Sau khi tấn công không bị phản đòn: gây thêm 500 sát thương LP.</x:v>
      </x:c>
      <x:c r="N60" s="20" t="str">
        <x:v>burn_n</x:v>
      </x:c>
      <x:c r="O60" s="22" t="n">
        <x:v>500</x:v>
      </x:c>
      <x:c r="P60" s="20" t="str">
        <x:v>Sau tấn công [on_attack]</x:v>
      </x:c>
      <x:c r="Q60" s="20" t="str"/>
      <x:c r="R60" s="20" t="str"/>
      <x:c r="S60" s="20" t="str">
        <x:v>Triệu hồi thường: hiến tế 2 quái.</x:v>
      </x:c>
      <x:c r="T60" s="20" t="str">
        <x:v>assets/memecard/art/hoa_than_bep_than.svg</x:v>
      </x:c>
      <x:c r="U60" s="20" t="str">
        <x:v>Main Deck</x:v>
      </x:c>
      <x:c r="V60" s="20" t="str">
        <x:v>Không</x:v>
      </x:c>
    </x:row>
    <x:row r="61" ht="72" customHeight="1">
      <x:c r="A61" s="14" t="n">
        <x:v>55</x:v>
      </x:c>
      <x:c r="B61" s="15" t="str">
        <x:v>kiem_si_lac_duong</x:v>
      </x:c>
      <x:c r="C61" s="18" t="str">
        <x:v>Kiếm Sĩ Lạc Đường</x:v>
      </x:c>
      <x:c r="D61" s="16" t="str">
        <x:v>Quái</x:v>
      </x:c>
      <x:c r="E61" s="16" t="str">
        <x:v>Hiệu Ứng</x:v>
      </x:c>
      <x:c r="F61" s="16" t="str">
        <x:v>Phong</x:v>
      </x:c>
      <x:c r="G61" s="16" t="str">
        <x:v>Tộc Phong</x:v>
      </x:c>
      <x:c r="H61" s="16" t="str">
        <x:v>R</x:v>
      </x:c>
      <x:c r="I61" s="14" t="n">
        <x:v>3</x:v>
      </x:c>
      <x:c r="J61" s="14" t="n">
        <x:v>1200</x:v>
      </x:c>
      <x:c r="K61" s="14" t="n">
        <x:v>1000</x:v>
      </x:c>
      <x:c r="L61" s="14" t="n">
        <x:v>3</x:v>
      </x:c>
      <x:c r="M61" s="15" t="str">
        <x:v>Tuner (Điều chỉnh). Khi triệu hồi: lấy quái 4 sao trở xuống có ATK cao nhất trong bộ bài lên tay, rồi xáo bài.</x:v>
      </x:c>
      <x:c r="N61" s="15" t="str">
        <x:v>search_monster</x:v>
      </x:c>
      <x:c r="O61" s="17" t="n">
        <x:v>1</x:v>
      </x:c>
      <x:c r="P61" s="15" t="str">
        <x:v>Khi triệu hồi [on_summon]</x:v>
      </x:c>
      <x:c r="Q61" s="15" t="str"/>
      <x:c r="R61" s="15" t="str"/>
      <x:c r="S61" s="15" t="str">
        <x:v>Triệu hồi thường: không cần hiến tế.</x:v>
      </x:c>
      <x:c r="T61" s="15" t="str">
        <x:v>assets/memecard/art/kiem_si_lac_duong.svg</x:v>
      </x:c>
      <x:c r="U61" s="15" t="str">
        <x:v>Main Deck</x:v>
      </x:c>
      <x:c r="V61" s="15" t="str">
        <x:v>Có</x:v>
      </x:c>
    </x:row>
    <x:row r="62" ht="72" customHeight="1">
      <x:c r="A62" s="19" t="n">
        <x:v>56</x:v>
      </x:c>
      <x:c r="B62" s="20" t="str">
        <x:v>robo_shopper</x:v>
      </x:c>
      <x:c r="C62" s="23" t="str">
        <x:v>Robo Shopper</x:v>
      </x:c>
      <x:c r="D62" s="21" t="str">
        <x:v>Quái</x:v>
      </x:c>
      <x:c r="E62" s="21" t="str">
        <x:v>Hiệu Ứng</x:v>
      </x:c>
      <x:c r="F62" s="21" t="str">
        <x:v>Cơ</x:v>
      </x:c>
      <x:c r="G62" s="21" t="str">
        <x:v>Tộc Cơ</x:v>
      </x:c>
      <x:c r="H62" s="21" t="str">
        <x:v>R</x:v>
      </x:c>
      <x:c r="I62" s="19" t="n">
        <x:v>4</x:v>
      </x:c>
      <x:c r="J62" s="19" t="n">
        <x:v>1500</x:v>
      </x:c>
      <x:c r="K62" s="19" t="n">
        <x:v>1500</x:v>
      </x:c>
      <x:c r="L62" s="19" t="n">
        <x:v>3</x:v>
      </x:c>
      <x:c r="M62" s="20" t="str">
        <x:v>Một lần trong lượt của bạn ở MAIN: rút 1 lá.</x:v>
      </x:c>
      <x:c r="N62" s="20" t="str">
        <x:v>draw_n</x:v>
      </x:c>
      <x:c r="O62" s="22" t="n">
        <x:v>1</x:v>
      </x:c>
      <x:c r="P62" s="20" t="str">
        <x:v>Chủ động ở MAIN [activated]</x:v>
      </x:c>
      <x:c r="Q62" s="20" t="str"/>
      <x:c r="R62" s="20" t="str"/>
      <x:c r="S62" s="20" t="str">
        <x:v>Triệu hồi thường: không cần hiến tế.</x:v>
      </x:c>
      <x:c r="T62" s="20" t="str">
        <x:v>assets/memecard/art/robo_shopper.svg</x:v>
      </x:c>
      <x:c r="U62" s="20" t="str">
        <x:v>Main Deck</x:v>
      </x:c>
      <x:c r="V62" s="20" t="str">
        <x:v>Không</x:v>
      </x:c>
    </x:row>
    <x:row r="63" ht="72" customHeight="1">
      <x:c r="A63" s="14" t="n">
        <x:v>57</x:v>
      </x:c>
      <x:c r="B63" s="15" t="str">
        <x:v>bat_coc_vu_tru</x:v>
      </x:c>
      <x:c r="C63" s="18" t="str">
        <x:v>Bát Cóc Vũ Trụ</x:v>
      </x:c>
      <x:c r="D63" s="16" t="str">
        <x:v>Quái</x:v>
      </x:c>
      <x:c r="E63" s="16" t="str">
        <x:v>Hiệu Ứng</x:v>
      </x:c>
      <x:c r="F63" s="16" t="str">
        <x:v>Ám</x:v>
      </x:c>
      <x:c r="G63" s="16" t="str">
        <x:v>Tộc Ám</x:v>
      </x:c>
      <x:c r="H63" s="16" t="str">
        <x:v>R</x:v>
      </x:c>
      <x:c r="I63" s="14" t="n">
        <x:v>2</x:v>
      </x:c>
      <x:c r="J63" s="14" t="n">
        <x:v>600</x:v>
      </x:c>
      <x:c r="K63" s="14" t="n">
        <x:v>1200</x:v>
      </x:c>
      <x:c r="L63" s="14" t="n">
        <x:v>3</x:v>
      </x:c>
      <x:c r="M63" s="15" t="str">
        <x:v>Khi bị tấn công và lật ngửa: gây 400 sát thương LP cho đối thủ.</x:v>
      </x:c>
      <x:c r="N63" s="15" t="str">
        <x:v>burn_n</x:v>
      </x:c>
      <x:c r="O63" s="17" t="n">
        <x:v>400</x:v>
      </x:c>
      <x:c r="P63" s="15" t="str">
        <x:v>Khi bị đánh lật ngửa [on_flip]</x:v>
      </x:c>
      <x:c r="Q63" s="15" t="str"/>
      <x:c r="R63" s="15" t="str"/>
      <x:c r="S63" s="15" t="str">
        <x:v>Triệu hồi thường: không cần hiến tế.</x:v>
      </x:c>
      <x:c r="T63" s="15" t="str">
        <x:v>assets/memecard/art/bat_coc_vu_tru.svg</x:v>
      </x:c>
      <x:c r="U63" s="15" t="str">
        <x:v>Main Deck</x:v>
      </x:c>
      <x:c r="V63" s="15" t="str">
        <x:v>Không</x:v>
      </x:c>
    </x:row>
    <x:row r="64" ht="72" customHeight="1">
      <x:c r="A64" s="19" t="n">
        <x:v>58</x:v>
      </x:c>
      <x:c r="B64" s="20" t="str">
        <x:v>nang_tien_wifi</x:v>
      </x:c>
      <x:c r="C64" s="23" t="str">
        <x:v>Nàng Tiên Wi-Fi</x:v>
      </x:c>
      <x:c r="D64" s="21" t="str">
        <x:v>Quái</x:v>
      </x:c>
      <x:c r="E64" s="21" t="str">
        <x:v>Hiệu Ứng</x:v>
      </x:c>
      <x:c r="F64" s="21" t="str">
        <x:v>Phong</x:v>
      </x:c>
      <x:c r="G64" s="21" t="str">
        <x:v>Tộc Phong</x:v>
      </x:c>
      <x:c r="H64" s="21" t="str">
        <x:v>R</x:v>
      </x:c>
      <x:c r="I64" s="19" t="n">
        <x:v>2</x:v>
      </x:c>
      <x:c r="J64" s="19" t="n">
        <x:v>800</x:v>
      </x:c>
      <x:c r="K64" s="19" t="n">
        <x:v>800</x:v>
      </x:c>
      <x:c r="L64" s="19" t="n">
        <x:v>3</x:v>
      </x:c>
      <x:c r="M64" s="20" t="str">
        <x:v>Tuner (Điều chỉnh). Khi bị tấn công và lật ngửa: rút 1 lá.</x:v>
      </x:c>
      <x:c r="N64" s="20" t="str">
        <x:v>draw_n</x:v>
      </x:c>
      <x:c r="O64" s="22" t="n">
        <x:v>1</x:v>
      </x:c>
      <x:c r="P64" s="20" t="str">
        <x:v>Khi bị đánh lật ngửa [on_flip]</x:v>
      </x:c>
      <x:c r="Q64" s="20" t="str"/>
      <x:c r="R64" s="20" t="str"/>
      <x:c r="S64" s="20" t="str">
        <x:v>Triệu hồi thường: không cần hiến tế.</x:v>
      </x:c>
      <x:c r="T64" s="20" t="str">
        <x:v>assets/memecard/art/nang_tien_wifi.svg</x:v>
      </x:c>
      <x:c r="U64" s="20" t="str">
        <x:v>Main Deck</x:v>
      </x:c>
      <x:c r="V64" s="20" t="str">
        <x:v>Có</x:v>
      </x:c>
    </x:row>
    <x:row r="65" ht="72" customHeight="1">
      <x:c r="A65" s="14" t="n">
        <x:v>59</x:v>
      </x:c>
      <x:c r="B65" s="15" t="str">
        <x:v>phuong_hoang_thuc_khuya</x:v>
      </x:c>
      <x:c r="C65" s="18" t="str">
        <x:v>Phượng Hoàng Thức Khuya</x:v>
      </x:c>
      <x:c r="D65" s="16" t="str">
        <x:v>Quái</x:v>
      </x:c>
      <x:c r="E65" s="16" t="str">
        <x:v>Hiệu Ứng</x:v>
      </x:c>
      <x:c r="F65" s="16" t="str">
        <x:v>Hỏa</x:v>
      </x:c>
      <x:c r="G65" s="16" t="str">
        <x:v>Tộc Hỏa</x:v>
      </x:c>
      <x:c r="H65" s="16" t="str">
        <x:v>SR</x:v>
      </x:c>
      <x:c r="I65" s="14" t="n">
        <x:v>6</x:v>
      </x:c>
      <x:c r="J65" s="14" t="n">
        <x:v>2350</x:v>
      </x:c>
      <x:c r="K65" s="14" t="n">
        <x:v>1600</x:v>
      </x:c>
      <x:c r="L65" s="14" t="n">
        <x:v>3</x:v>
      </x:c>
      <x:c r="M65" s="15" t="str">
        <x:v>Khi bị phá hủy trong chiến đấu hoặc bởi hiệu ứng: rút 1 lá.</x:v>
      </x:c>
      <x:c r="N65" s="15" t="str">
        <x:v>draw_n</x:v>
      </x:c>
      <x:c r="O65" s="17" t="n">
        <x:v>1</x:v>
      </x:c>
      <x:c r="P65" s="15" t="str">
        <x:v>Khi bị phá hủy [on_destroy]</x:v>
      </x:c>
      <x:c r="Q65" s="15" t="str"/>
      <x:c r="R65" s="15" t="str"/>
      <x:c r="S65" s="15" t="str">
        <x:v>Triệu hồi thường: hiến tế 1 quái.</x:v>
      </x:c>
      <x:c r="T65" s="15" t="str">
        <x:v>assets/memecard/art/phuong_hoang_thuc_khuya.svg</x:v>
      </x:c>
      <x:c r="U65" s="15" t="str">
        <x:v>Main Deck</x:v>
      </x:c>
      <x:c r="V65" s="15" t="str">
        <x:v>Không</x:v>
      </x:c>
    </x:row>
    <x:row r="66" ht="72" customHeight="1">
      <x:c r="A66" s="19" t="n">
        <x:v>60</x:v>
      </x:c>
      <x:c r="B66" s="20" t="str">
        <x:v>bach_long_may_tre</x:v>
      </x:c>
      <x:c r="C66" s="23" t="str">
        <x:v>Bạch Long Mây Tre</x:v>
      </x:c>
      <x:c r="D66" s="21" t="str">
        <x:v>Quái</x:v>
      </x:c>
      <x:c r="E66" s="21" t="str">
        <x:v>Đồng Bộ</x:v>
      </x:c>
      <x:c r="F66" s="21" t="str">
        <x:v>Quang</x:v>
      </x:c>
      <x:c r="G66" s="21" t="str">
        <x:v>Tộc Quang</x:v>
      </x:c>
      <x:c r="H66" s="21" t="str">
        <x:v>UR</x:v>
      </x:c>
      <x:c r="I66" s="19" t="n">
        <x:v>8</x:v>
      </x:c>
      <x:c r="J66" s="19" t="n">
        <x:v>2900</x:v>
      </x:c>
      <x:c r="K66" s="19" t="n">
        <x:v>2500</x:v>
      </x:c>
      <x:c r="L66" s="19" t="n">
        <x:v>3</x:v>
      </x:c>
      <x:c r="M66" s="20" t="str">
        <x:v>Đồng Bộ từ Extra Deck: 1 Tuner + ít nhất 1 quái không phải Tuner đang ngửa, tổng đúng 8 sao. Có sát thương xuyên thủ.</x:v>
      </x:c>
      <x:c r="N66" s="20" t="str"/>
      <x:c r="O66" s="22"/>
      <x:c r="P66" s="20" t="str"/>
      <x:c r="Q66" s="20" t="str">
        <x:v>piercing</x:v>
      </x:c>
      <x:c r="R66" s="20" t="str"/>
      <x:c r="S66" s="20" t="str">
        <x:v>Từ Extra Deck: 1 Tuner + ít nhất 1 quái không Tuner đang ngửa; tổng đúng 8 sao.</x:v>
      </x:c>
      <x:c r="T66" s="20" t="str">
        <x:v>assets/memecard/art/bach_long_may_tre.svg</x:v>
      </x:c>
      <x:c r="U66" s="20" t="str">
        <x:v>Extra Deck</x:v>
      </x:c>
      <x:c r="V66" s="20" t="str">
        <x:v>Không</x:v>
      </x:c>
    </x:row>
    <x:row r="67" ht="72" customHeight="1">
      <x:c r="A67" s="14" t="n">
        <x:v>61</x:v>
      </x:c>
      <x:c r="B67" s="15" t="str">
        <x:v>song_kiem_thien_loi</x:v>
      </x:c>
      <x:c r="C67" s="18" t="str">
        <x:v>Song Kiếm Thiên Lôi</x:v>
      </x:c>
      <x:c r="D67" s="16" t="str">
        <x:v>Quái</x:v>
      </x:c>
      <x:c r="E67" s="16" t="str">
        <x:v>Đồng Bộ</x:v>
      </x:c>
      <x:c r="F67" s="16" t="str">
        <x:v>Phong</x:v>
      </x:c>
      <x:c r="G67" s="16" t="str">
        <x:v>Tộc Phong</x:v>
      </x:c>
      <x:c r="H67" s="16" t="str">
        <x:v>UR</x:v>
      </x:c>
      <x:c r="I67" s="14" t="n">
        <x:v>7</x:v>
      </x:c>
      <x:c r="J67" s="14" t="n">
        <x:v>2400</x:v>
      </x:c>
      <x:c r="K67" s="14" t="n">
        <x:v>1800</x:v>
      </x:c>
      <x:c r="L67" s="14" t="n">
        <x:v>3</x:v>
      </x:c>
      <x:c r="M67" s="15" t="str">
        <x:v>Đồng Bộ từ Extra Deck: 1 Tuner + ít nhất 1 quái không phải Tuner đang ngửa, tổng đúng 7 sao. Có thể tấn công 2 lần mỗi lượt.</x:v>
      </x:c>
      <x:c r="N67" s="15" t="str"/>
      <x:c r="O67" s="17"/>
      <x:c r="P67" s="15" t="str"/>
      <x:c r="Q67" s="15" t="str">
        <x:v>double_attack</x:v>
      </x:c>
      <x:c r="R67" s="15" t="str"/>
      <x:c r="S67" s="15" t="str">
        <x:v>Từ Extra Deck: 1 Tuner + ít nhất 1 quái không Tuner đang ngửa; tổng đúng 7 sao.</x:v>
      </x:c>
      <x:c r="T67" s="15" t="str">
        <x:v>assets/memecard/art/song_kiem_thien_loi.svg</x:v>
      </x:c>
      <x:c r="U67" s="15" t="str">
        <x:v>Extra Deck</x:v>
      </x:c>
      <x:c r="V67" s="15" t="str">
        <x:v>Không</x:v>
      </x:c>
    </x:row>
    <x:row r="68" ht="72" customHeight="1">
      <x:c r="A68" s="19" t="n">
        <x:v>62</x:v>
      </x:c>
      <x:c r="B68" s="20" t="str">
        <x:v>co_than_sieu_thi</x:v>
      </x:c>
      <x:c r="C68" s="23" t="str">
        <x:v>Cơ Thần Siêu Thị</x:v>
      </x:c>
      <x:c r="D68" s="21" t="str">
        <x:v>Quái</x:v>
      </x:c>
      <x:c r="E68" s="21" t="str">
        <x:v>Đồng Bộ</x:v>
      </x:c>
      <x:c r="F68" s="21" t="str">
        <x:v>Cơ</x:v>
      </x:c>
      <x:c r="G68" s="21" t="str">
        <x:v>Tộc Cơ</x:v>
      </x:c>
      <x:c r="H68" s="21" t="str">
        <x:v>UR</x:v>
      </x:c>
      <x:c r="I68" s="19" t="n">
        <x:v>8</x:v>
      </x:c>
      <x:c r="J68" s="19" t="n">
        <x:v>2800</x:v>
      </x:c>
      <x:c r="K68" s="19" t="n">
        <x:v>2800</x:v>
      </x:c>
      <x:c r="L68" s="19" t="n">
        <x:v>3</x:v>
      </x:c>
      <x:c r="M68" s="20" t="str">
        <x:v>Đồng Bộ từ Extra Deck: 1 Tuner + ít nhất 1 quái không phải Tuner đang ngửa, tổng đúng 8 sao. Khi triệu hồi: tạo khiên 1000 LP.</x:v>
      </x:c>
      <x:c r="N68" s="20" t="str">
        <x:v>shield_n</x:v>
      </x:c>
      <x:c r="O68" s="22" t="n">
        <x:v>1000</x:v>
      </x:c>
      <x:c r="P68" s="20" t="str">
        <x:v>Khi triệu hồi [on_summon]</x:v>
      </x:c>
      <x:c r="Q68" s="20" t="str"/>
      <x:c r="R68" s="20" t="str"/>
      <x:c r="S68" s="20" t="str">
        <x:v>Từ Extra Deck: 1 Tuner + ít nhất 1 quái không Tuner đang ngửa; tổng đúng 8 sao.</x:v>
      </x:c>
      <x:c r="T68" s="20" t="str">
        <x:v>assets/memecard/art/co_than_sieu_thi.svg</x:v>
      </x:c>
      <x:c r="U68" s="20" t="str">
        <x:v>Extra Deck</x:v>
      </x:c>
      <x:c r="V68" s="20" t="str">
        <x:v>Không</x:v>
      </x:c>
    </x:row>
    <x:row r="69" ht="72" customHeight="1">
      <x:c r="A69" s="14" t="n">
        <x:v>63</x:v>
      </x:c>
      <x:c r="B69" s="15" t="str">
        <x:v>am_long_ngu_ngay</x:v>
      </x:c>
      <x:c r="C69" s="18" t="str">
        <x:v>Ám Long Ngủ Ngày</x:v>
      </x:c>
      <x:c r="D69" s="16" t="str">
        <x:v>Quái</x:v>
      </x:c>
      <x:c r="E69" s="16" t="str">
        <x:v>Đồng Bộ</x:v>
      </x:c>
      <x:c r="F69" s="16" t="str">
        <x:v>Ám</x:v>
      </x:c>
      <x:c r="G69" s="16" t="str">
        <x:v>Tộc Ám</x:v>
      </x:c>
      <x:c r="H69" s="16" t="str">
        <x:v>UR</x:v>
      </x:c>
      <x:c r="I69" s="14" t="n">
        <x:v>8</x:v>
      </x:c>
      <x:c r="J69" s="14" t="n">
        <x:v>2850</x:v>
      </x:c>
      <x:c r="K69" s="14" t="n">
        <x:v>2100</x:v>
      </x:c>
      <x:c r="L69" s="14" t="n">
        <x:v>3</x:v>
      </x:c>
      <x:c r="M69" s="15" t="str">
        <x:v>Đồng Bộ từ Extra Deck: 1 Tuner + ít nhất 1 quái không phải Tuner đang ngửa, tổng đúng 8 sao. Khi triệu hồi: hồi sinh quái 4 sao trở xuống mạnh nhất trong mộ vào ô quái trống, thế thủ.</x:v>
      </x:c>
      <x:c r="N69" s="15" t="str">
        <x:v>revive</x:v>
      </x:c>
      <x:c r="O69" s="17" t="n">
        <x:v>1</x:v>
      </x:c>
      <x:c r="P69" s="15" t="str">
        <x:v>Khi triệu hồi [on_summon]</x:v>
      </x:c>
      <x:c r="Q69" s="15" t="str"/>
      <x:c r="R69" s="15" t="str"/>
      <x:c r="S69" s="15" t="str">
        <x:v>Từ Extra Deck: 1 Tuner + ít nhất 1 quái không Tuner đang ngửa; tổng đúng 8 sao.</x:v>
      </x:c>
      <x:c r="T69" s="15" t="str">
        <x:v>assets/memecard/art/am_long_ngu_ngay.svg</x:v>
      </x:c>
      <x:c r="U69" s="15" t="str">
        <x:v>Extra Deck</x:v>
      </x:c>
      <x:c r="V69" s="15" t="str">
        <x:v>Không</x:v>
      </x:c>
    </x:row>
    <x:row r="70" ht="72" customHeight="1">
      <x:c r="A70" s="19" t="n">
        <x:v>64</x:v>
      </x:c>
      <x:c r="B70" s="20" t="str">
        <x:v>nu_than_hoi_sinh</x:v>
      </x:c>
      <x:c r="C70" s="23" t="str">
        <x:v>Nữ Thần Hồi Sinh</x:v>
      </x:c>
      <x:c r="D70" s="21" t="str">
        <x:v>Quái</x:v>
      </x:c>
      <x:c r="E70" s="21" t="str">
        <x:v>Nghi Lễ</x:v>
      </x:c>
      <x:c r="F70" s="21" t="str">
        <x:v>Quang</x:v>
      </x:c>
      <x:c r="G70" s="21" t="str">
        <x:v>Tộc Quang</x:v>
      </x:c>
      <x:c r="H70" s="21" t="str">
        <x:v>UR</x:v>
      </x:c>
      <x:c r="I70" s="19" t="n">
        <x:v>7</x:v>
      </x:c>
      <x:c r="J70" s="19" t="n">
        <x:v>2500</x:v>
      </x:c>
      <x:c r="K70" s="19" t="n">
        <x:v>2300</x:v>
      </x:c>
      <x:c r="L70" s="19" t="n">
        <x:v>3</x:v>
      </x:c>
      <x:c r="M70" s="20" t="str">
        <x:v>Nghi Lễ với Gọi Hồn Trẩu Tre, hiến tế tổng ít nhất 7 sao. Khi triệu hồi: hồi sinh quái 4 sao trở xuống mạnh nhất của bạn ở thế thủ.</x:v>
      </x:c>
      <x:c r="N70" s="20" t="str">
        <x:v>revive</x:v>
      </x:c>
      <x:c r="O70" s="22" t="n">
        <x:v>1</x:v>
      </x:c>
      <x:c r="P70" s="20" t="str">
        <x:v>Khi triệu hồi [on_summon]</x:v>
      </x:c>
      <x:c r="Q70" s="20" t="str"/>
      <x:c r="R70" s="20" t="str"/>
      <x:c r="S70" s="20" t="str">
        <x:v>Nghi Lễ từ tay: Nghi Lễ Gọi Hồn Trẩu Tre; tổng hiến tế ≥ 7 sao.</x:v>
      </x:c>
      <x:c r="T70" s="20" t="str">
        <x:v>assets/memecard/art/nu_than_hoi_sinh.svg</x:v>
      </x:c>
      <x:c r="U70" s="20" t="str">
        <x:v>Main Deck</x:v>
      </x:c>
      <x:c r="V70" s="20" t="str">
        <x:v>Không</x:v>
      </x:c>
    </x:row>
    <x:row r="71" ht="72" customHeight="1">
      <x:c r="A71" s="14" t="n">
        <x:v>65</x:v>
      </x:c>
      <x:c r="B71" s="15" t="str">
        <x:v>hai_than_tra_sua</x:v>
      </x:c>
      <x:c r="C71" s="18" t="str">
        <x:v>Hải Thần Trà Sữa</x:v>
      </x:c>
      <x:c r="D71" s="16" t="str">
        <x:v>Quái</x:v>
      </x:c>
      <x:c r="E71" s="16" t="str">
        <x:v>Nghi Lễ</x:v>
      </x:c>
      <x:c r="F71" s="16" t="str">
        <x:v>Thủy</x:v>
      </x:c>
      <x:c r="G71" s="16" t="str">
        <x:v>Tộc Thủy</x:v>
      </x:c>
      <x:c r="H71" s="16" t="str">
        <x:v>UR</x:v>
      </x:c>
      <x:c r="I71" s="14" t="n">
        <x:v>8</x:v>
      </x:c>
      <x:c r="J71" s="14" t="n">
        <x:v>2800</x:v>
      </x:c>
      <x:c r="K71" s="14" t="n">
        <x:v>2600</x:v>
      </x:c>
      <x:c r="L71" s="14" t="n">
        <x:v>3</x:v>
      </x:c>
      <x:c r="M71" s="15" t="str">
        <x:v>Nghi Lễ với Gọi Hồn Trẩu Tre, hiến tế tổng ít nhất 8 sao. Khi triệu hồi: quái đối thủ -700 ATK đến hết lượt này.</x:v>
      </x:c>
      <x:c r="N71" s="15" t="str">
        <x:v>weaken_all</x:v>
      </x:c>
      <x:c r="O71" s="17" t="n">
        <x:v>700</x:v>
      </x:c>
      <x:c r="P71" s="15" t="str">
        <x:v>Khi triệu hồi [on_summon]</x:v>
      </x:c>
      <x:c r="Q71" s="15" t="str"/>
      <x:c r="R71" s="15" t="str"/>
      <x:c r="S71" s="15" t="str">
        <x:v>Nghi Lễ từ tay: Nghi Lễ Gọi Hồn Trẩu Tre; tổng hiến tế ≥ 8 sao.</x:v>
      </x:c>
      <x:c r="T71" s="15" t="str">
        <x:v>assets/memecard/art/hai_than_tra_sua.svg</x:v>
      </x:c>
      <x:c r="U71" s="15" t="str">
        <x:v>Main Deck</x:v>
      </x:c>
      <x:c r="V71" s="15" t="str">
        <x:v>Không</x:v>
      </x:c>
    </x:row>
    <x:row r="72" ht="72" customHeight="1">
      <x:c r="A72" s="19" t="n">
        <x:v>66</x:v>
      </x:c>
      <x:c r="B72" s="20" t="str">
        <x:v>hoi_sinh_binh_minh</x:v>
      </x:c>
      <x:c r="C72" s="23" t="str">
        <x:v>Hồi Sinh Bình Minh</x:v>
      </x:c>
      <x:c r="D72" s="21" t="str">
        <x:v>Phép</x:v>
      </x:c>
      <x:c r="E72" s="21" t="str">
        <x:v>Thường</x:v>
      </x:c>
      <x:c r="F72" s="21" t="str">
        <x:v>Quang</x:v>
      </x:c>
      <x:c r="G72" s="21" t="str"/>
      <x:c r="H72" s="21" t="str">
        <x:v>R</x:v>
      </x:c>
      <x:c r="I72" s="19"/>
      <x:c r="J72" s="19"/>
      <x:c r="K72" s="19"/>
      <x:c r="L72" s="19" t="n">
        <x:v>3</x:v>
      </x:c>
      <x:c r="M72" s="20" t="str">
        <x:v>Hồi sinh quái 4 sao trở xuống có ATK cao nhất trong mộ của bạn vào ô quái trống ở thế thủ. Không kích hoạt hiệu ứng khi triệu hồi.</x:v>
      </x:c>
      <x:c r="N72" s="20" t="str">
        <x:v>revive</x:v>
      </x:c>
      <x:c r="O72" s="22" t="n">
        <x:v>1</x:v>
      </x:c>
      <x:c r="P72" s="20" t="str">
        <x:v>MAIN của bạn</x:v>
      </x:c>
      <x:c r="Q72" s="20" t="str"/>
      <x:c r="R72" s="20" t="str"/>
      <x:c r="S72" s="20" t="str"/>
      <x:c r="T72" s="20" t="str">
        <x:v>assets/memecard/art/hoi_sinh_binh_minh.svg</x:v>
      </x:c>
      <x:c r="U72" s="20" t="str">
        <x:v>Main Deck</x:v>
      </x:c>
      <x:c r="V72" s="20" t="str">
        <x:v>Không</x:v>
      </x:c>
    </x:row>
    <x:row r="73" ht="72" customHeight="1">
      <x:c r="A73" s="14" t="n">
        <x:v>67</x:v>
      </x:c>
      <x:c r="B73" s="15" t="str">
        <x:v>bao_kiem_vo_hinh</x:v>
      </x:c>
      <x:c r="C73" s="18" t="str">
        <x:v>Bão Kiếm Vô Hình</x:v>
      </x:c>
      <x:c r="D73" s="16" t="str">
        <x:v>Phép</x:v>
      </x:c>
      <x:c r="E73" s="16" t="str">
        <x:v>Thường</x:v>
      </x:c>
      <x:c r="F73" s="16" t="str">
        <x:v>Phong</x:v>
      </x:c>
      <x:c r="G73" s="16" t="str"/>
      <x:c r="H73" s="16" t="str">
        <x:v>R</x:v>
      </x:c>
      <x:c r="I73" s="14"/>
      <x:c r="J73" s="14"/>
      <x:c r="K73" s="14"/>
      <x:c r="L73" s="14" t="n">
        <x:v>3</x:v>
      </x:c>
      <x:c r="M73" s="15" t="str">
        <x:v>Chọn 1 quái đối thủ trên sân (kể cả đang úp hoặc ở ô Extra) và phá hủy nó.</x:v>
      </x:c>
      <x:c r="N73" s="15" t="str">
        <x:v>destroy_monster_target</x:v>
      </x:c>
      <x:c r="O73" s="17" t="n">
        <x:v>1</x:v>
      </x:c>
      <x:c r="P73" s="15" t="str">
        <x:v>MAIN của bạn</x:v>
      </x:c>
      <x:c r="Q73" s="15" t="str"/>
      <x:c r="R73" s="15" t="str"/>
      <x:c r="S73" s="15" t="str"/>
      <x:c r="T73" s="15" t="str">
        <x:v>assets/memecard/art/bao_kiem_vo_hinh.svg</x:v>
      </x:c>
      <x:c r="U73" s="15" t="str">
        <x:v>Main Deck</x:v>
      </x:c>
      <x:c r="V73" s="15" t="str">
        <x:v>Không</x:v>
      </x:c>
    </x:row>
    <x:row r="74" ht="72" customHeight="1">
      <x:c r="A74" s="19" t="n">
        <x:v>68</x:v>
      </x:c>
      <x:c r="B74" s="20" t="str">
        <x:v>thien_thach_mini</x:v>
      </x:c>
      <x:c r="C74" s="23" t="str">
        <x:v>Thiên Thạch Mini</x:v>
      </x:c>
      <x:c r="D74" s="21" t="str">
        <x:v>Phép</x:v>
      </x:c>
      <x:c r="E74" s="21" t="str">
        <x:v>Thường</x:v>
      </x:c>
      <x:c r="F74" s="21" t="str">
        <x:v>Hỏa</x:v>
      </x:c>
      <x:c r="G74" s="21" t="str"/>
      <x:c r="H74" s="21" t="str">
        <x:v>R</x:v>
      </x:c>
      <x:c r="I74" s="19"/>
      <x:c r="J74" s="19"/>
      <x:c r="K74" s="19"/>
      <x:c r="L74" s="19" t="n">
        <x:v>3</x:v>
      </x:c>
      <x:c r="M74" s="20" t="str">
        <x:v>Gây 700 sát thương LP cho đối thủ.</x:v>
      </x:c>
      <x:c r="N74" s="20" t="str">
        <x:v>burn_n</x:v>
      </x:c>
      <x:c r="O74" s="22" t="n">
        <x:v>700</x:v>
      </x:c>
      <x:c r="P74" s="20" t="str">
        <x:v>MAIN của bạn</x:v>
      </x:c>
      <x:c r="Q74" s="20" t="str"/>
      <x:c r="R74" s="20" t="str"/>
      <x:c r="S74" s="20" t="str"/>
      <x:c r="T74" s="20" t="str">
        <x:v>assets/memecard/art/thien_thach_mini.svg</x:v>
      </x:c>
      <x:c r="U74" s="20" t="str">
        <x:v>Main Deck</x:v>
      </x:c>
      <x:c r="V74" s="20" t="str">
        <x:v>Không</x:v>
      </x:c>
    </x:row>
    <x:row r="75" ht="72" customHeight="1">
      <x:c r="A75" s="14" t="n">
        <x:v>69</x:v>
      </x:c>
      <x:c r="B75" s="15" t="str">
        <x:v>tieng_goi_dong_doi</x:v>
      </x:c>
      <x:c r="C75" s="18" t="str">
        <x:v>Tiếng Gọi Đồng Đội</x:v>
      </x:c>
      <x:c r="D75" s="16" t="str">
        <x:v>Phép</x:v>
      </x:c>
      <x:c r="E75" s="16" t="str">
        <x:v>Thường</x:v>
      </x:c>
      <x:c r="F75" s="16" t="str">
        <x:v>Quang</x:v>
      </x:c>
      <x:c r="G75" s="16" t="str"/>
      <x:c r="H75" s="16" t="str">
        <x:v>R</x:v>
      </x:c>
      <x:c r="I75" s="14"/>
      <x:c r="J75" s="14"/>
      <x:c r="K75" s="14"/>
      <x:c r="L75" s="14" t="n">
        <x:v>3</x:v>
      </x:c>
      <x:c r="M75" s="15" t="str">
        <x:v>Lấy quái 4 sao trở xuống có ATK cao nhất trong bộ bài lên tay, rồi xáo bài.</x:v>
      </x:c>
      <x:c r="N75" s="15" t="str">
        <x:v>search_monster</x:v>
      </x:c>
      <x:c r="O75" s="17" t="n">
        <x:v>1</x:v>
      </x:c>
      <x:c r="P75" s="15" t="str">
        <x:v>MAIN của bạn</x:v>
      </x:c>
      <x:c r="Q75" s="15" t="str"/>
      <x:c r="R75" s="15" t="str"/>
      <x:c r="S75" s="15" t="str"/>
      <x:c r="T75" s="15" t="str">
        <x:v>assets/memecard/art/tieng_goi_dong_doi.svg</x:v>
      </x:c>
      <x:c r="U75" s="15" t="str">
        <x:v>Main Deck</x:v>
      </x:c>
      <x:c r="V75" s="15" t="str">
        <x:v>Không</x:v>
      </x:c>
    </x:row>
    <x:row r="76" ht="72" customHeight="1">
      <x:c r="A76" s="19" t="n">
        <x:v>70</x:v>
      </x:c>
      <x:c r="B76" s="20" t="str">
        <x:v>thu_vien_bi_mat</x:v>
      </x:c>
      <x:c r="C76" s="23" t="str">
        <x:v>Thư Viện Bí Mật</x:v>
      </x:c>
      <x:c r="D76" s="21" t="str">
        <x:v>Phép</x:v>
      </x:c>
      <x:c r="E76" s="21" t="str">
        <x:v>Thường</x:v>
      </x:c>
      <x:c r="F76" s="21" t="str">
        <x:v>Ám</x:v>
      </x:c>
      <x:c r="G76" s="21" t="str"/>
      <x:c r="H76" s="21" t="str">
        <x:v>R</x:v>
      </x:c>
      <x:c r="I76" s="19"/>
      <x:c r="J76" s="19"/>
      <x:c r="K76" s="19"/>
      <x:c r="L76" s="19" t="n">
        <x:v>3</x:v>
      </x:c>
      <x:c r="M76" s="20" t="str">
        <x:v>Lấy lá Phép đầu tiên còn trong bộ bài lên tay, rồi xáo bài.</x:v>
      </x:c>
      <x:c r="N76" s="20" t="str">
        <x:v>search_spell</x:v>
      </x:c>
      <x:c r="O76" s="22" t="n">
        <x:v>1</x:v>
      </x:c>
      <x:c r="P76" s="20" t="str">
        <x:v>MAIN của bạn</x:v>
      </x:c>
      <x:c r="Q76" s="20" t="str"/>
      <x:c r="R76" s="20" t="str"/>
      <x:c r="S76" s="20" t="str"/>
      <x:c r="T76" s="20" t="str">
        <x:v>assets/memecard/art/thu_vien_bi_mat.svg</x:v>
      </x:c>
      <x:c r="U76" s="20" t="str">
        <x:v>Main Deck</x:v>
      </x:c>
      <x:c r="V76" s="20" t="str">
        <x:v>Không</x:v>
      </x:c>
    </x:row>
    <x:row r="77" ht="72" customHeight="1">
      <x:c r="A77" s="14" t="n">
        <x:v>71</x:v>
      </x:c>
      <x:c r="B77" s="15" t="str">
        <x:v>gio_doi_chieu</x:v>
      </x:c>
      <x:c r="C77" s="18" t="str">
        <x:v>Gió Đổi Chiều</x:v>
      </x:c>
      <x:c r="D77" s="16" t="str">
        <x:v>Phép</x:v>
      </x:c>
      <x:c r="E77" s="16" t="str">
        <x:v>Nhanh</x:v>
      </x:c>
      <x:c r="F77" s="16" t="str">
        <x:v>Phong</x:v>
      </x:c>
      <x:c r="G77" s="16" t="str"/>
      <x:c r="H77" s="16" t="str">
        <x:v>R</x:v>
      </x:c>
      <x:c r="I77" s="14"/>
      <x:c r="J77" s="14"/>
      <x:c r="K77" s="14"/>
      <x:c r="L77" s="14" t="n">
        <x:v>3</x:v>
      </x:c>
      <x:c r="M77" s="15" t="str">
        <x:v>Trong MAIN của bạn: trả quái có ATK cao nhất của đối thủ về tay.</x:v>
      </x:c>
      <x:c r="N77" s="15" t="str">
        <x:v>bounce_strongest</x:v>
      </x:c>
      <x:c r="O77" s="17" t="n">
        <x:v>1</x:v>
      </x:c>
      <x:c r="P77" s="15" t="str">
        <x:v>MAIN của bạn</x:v>
      </x:c>
      <x:c r="Q77" s="15" t="str"/>
      <x:c r="R77" s="15" t="str"/>
      <x:c r="S77" s="15" t="str"/>
      <x:c r="T77" s="15" t="str">
        <x:v>assets/memecard/art/gio_doi_chieu.svg</x:v>
      </x:c>
      <x:c r="U77" s="15" t="str">
        <x:v>Main Deck</x:v>
      </x:c>
      <x:c r="V77" s="15" t="str">
        <x:v>Không</x:v>
      </x:c>
    </x:row>
    <x:row r="78" ht="72" customHeight="1">
      <x:c r="A78" s="19" t="n">
        <x:v>72</x:v>
      </x:c>
      <x:c r="B78" s="20" t="str">
        <x:v>bang_phong_thanh</x:v>
      </x:c>
      <x:c r="C78" s="23" t="str">
        <x:v>Băng Phong Thành</x:v>
      </x:c>
      <x:c r="D78" s="21" t="str">
        <x:v>Phép</x:v>
      </x:c>
      <x:c r="E78" s="21" t="str">
        <x:v>Thường</x:v>
      </x:c>
      <x:c r="F78" s="21" t="str">
        <x:v>Thủy</x:v>
      </x:c>
      <x:c r="G78" s="21" t="str"/>
      <x:c r="H78" s="21" t="str">
        <x:v>R</x:v>
      </x:c>
      <x:c r="I78" s="19"/>
      <x:c r="J78" s="19"/>
      <x:c r="K78" s="19"/>
      <x:c r="L78" s="19" t="n">
        <x:v>3</x:v>
      </x:c>
      <x:c r="M78" s="20" t="str">
        <x:v>Khóa tấn công toàn bộ quái đối thủ hiện có trên sân trong lượt kế tiếp của họ.</x:v>
      </x:c>
      <x:c r="N78" s="20" t="str">
        <x:v>freeze_all</x:v>
      </x:c>
      <x:c r="O78" s="22" t="n">
        <x:v>1</x:v>
      </x:c>
      <x:c r="P78" s="20" t="str">
        <x:v>MAIN của bạn</x:v>
      </x:c>
      <x:c r="Q78" s="20" t="str"/>
      <x:c r="R78" s="20" t="str"/>
      <x:c r="S78" s="20" t="str"/>
      <x:c r="T78" s="20" t="str">
        <x:v>assets/memecard/art/bang_phong_thanh.svg</x:v>
      </x:c>
      <x:c r="U78" s="20" t="str">
        <x:v>Main Deck</x:v>
      </x:c>
      <x:c r="V78" s="20" t="str">
        <x:v>Không</x:v>
      </x:c>
    </x:row>
    <x:row r="79" ht="72" customHeight="1">
      <x:c r="A79" s="14" t="n">
        <x:v>73</x:v>
      </x:c>
      <x:c r="B79" s="15" t="str">
        <x:v>ao_giap_anh_sang</x:v>
      </x:c>
      <x:c r="C79" s="18" t="str">
        <x:v>Áo Giáp Ánh Sáng</x:v>
      </x:c>
      <x:c r="D79" s="16" t="str">
        <x:v>Phép</x:v>
      </x:c>
      <x:c r="E79" s="16" t="str">
        <x:v>Trang Bị</x:v>
      </x:c>
      <x:c r="F79" s="16" t="str">
        <x:v>Quang</x:v>
      </x:c>
      <x:c r="G79" s="16" t="str"/>
      <x:c r="H79" s="16" t="str">
        <x:v>R</x:v>
      </x:c>
      <x:c r="I79" s="14"/>
      <x:c r="J79" s="14"/>
      <x:c r="K79" s="14"/>
      <x:c r="L79" s="14" t="n">
        <x:v>3</x:v>
      </x:c>
      <x:c r="M79" s="15" t="str">
        <x:v>Quái được chọn +700 DEF khi còn trên sân.</x:v>
      </x:c>
      <x:c r="N79" s="15" t="str">
        <x:v>equip_def_n</x:v>
      </x:c>
      <x:c r="O79" s="17" t="n">
        <x:v>700</x:v>
      </x:c>
      <x:c r="P79" s="15" t="str">
        <x:v>MAIN của bạn</x:v>
      </x:c>
      <x:c r="Q79" s="15" t="str"/>
      <x:c r="R79" s="15" t="str"/>
      <x:c r="S79" s="15" t="str"/>
      <x:c r="T79" s="15" t="str">
        <x:v>assets/memecard/art/ao_giap_anh_sang.svg</x:v>
      </x:c>
      <x:c r="U79" s="15" t="str">
        <x:v>Main Deck</x:v>
      </x:c>
      <x:c r="V79" s="15" t="str">
        <x:v>Không</x:v>
      </x:c>
    </x:row>
    <x:row r="80" ht="72" customHeight="1">
      <x:c r="A80" s="19" t="n">
        <x:v>74</x:v>
      </x:c>
      <x:c r="B80" s="20" t="str">
        <x:v>thuong_xuyen_giap</x:v>
      </x:c>
      <x:c r="C80" s="23" t="str">
        <x:v>Thương Xuyên Giáp</x:v>
      </x:c>
      <x:c r="D80" s="21" t="str">
        <x:v>Phép</x:v>
      </x:c>
      <x:c r="E80" s="21" t="str">
        <x:v>Trang Bị</x:v>
      </x:c>
      <x:c r="F80" s="21" t="str">
        <x:v>Phong</x:v>
      </x:c>
      <x:c r="G80" s="21" t="str"/>
      <x:c r="H80" s="21" t="str">
        <x:v>R</x:v>
      </x:c>
      <x:c r="I80" s="19"/>
      <x:c r="J80" s="19"/>
      <x:c r="K80" s="19"/>
      <x:c r="L80" s="19" t="n">
        <x:v>3</x:v>
      </x:c>
      <x:c r="M80" s="20" t="str">
        <x:v>Quái được chọn gây sát thương xuyên thủ khi ATK cao hơn DEF của mục tiêu.</x:v>
      </x:c>
      <x:c r="N80" s="20" t="str">
        <x:v>equip_pierce</x:v>
      </x:c>
      <x:c r="O80" s="22" t="n">
        <x:v>0</x:v>
      </x:c>
      <x:c r="P80" s="20" t="str">
        <x:v>MAIN của bạn</x:v>
      </x:c>
      <x:c r="Q80" s="20" t="str"/>
      <x:c r="R80" s="20" t="str"/>
      <x:c r="S80" s="20" t="str"/>
      <x:c r="T80" s="20" t="str">
        <x:v>assets/memecard/art/thuong_xuyen_giap.svg</x:v>
      </x:c>
      <x:c r="U80" s="20" t="str">
        <x:v>Main Deck</x:v>
      </x:c>
      <x:c r="V80" s="20" t="str">
        <x:v>Không</x:v>
      </x:c>
    </x:row>
    <x:row r="81" ht="72" customHeight="1">
      <x:c r="A81" s="14" t="n">
        <x:v>75</x:v>
      </x:c>
      <x:c r="B81" s="15" t="str">
        <x:v>song_kiem_lien_hoan</x:v>
      </x:c>
      <x:c r="C81" s="18" t="str">
        <x:v>Song Kiếm Liên Hoàn</x:v>
      </x:c>
      <x:c r="D81" s="16" t="str">
        <x:v>Phép</x:v>
      </x:c>
      <x:c r="E81" s="16" t="str">
        <x:v>Trang Bị</x:v>
      </x:c>
      <x:c r="F81" s="16" t="str">
        <x:v>Hỏa</x:v>
      </x:c>
      <x:c r="G81" s="16" t="str"/>
      <x:c r="H81" s="16" t="str">
        <x:v>R</x:v>
      </x:c>
      <x:c r="I81" s="14"/>
      <x:c r="J81" s="14"/>
      <x:c r="K81" s="14"/>
      <x:c r="L81" s="14" t="n">
        <x:v>3</x:v>
      </x:c>
      <x:c r="M81" s="15" t="str">
        <x:v>Quái được chọn có thể tấn công tối đa 2 lần mỗi lượt. Không cộng dồn số lần.</x:v>
      </x:c>
      <x:c r="N81" s="15" t="str">
        <x:v>equip_double</x:v>
      </x:c>
      <x:c r="O81" s="17" t="n">
        <x:v>0</x:v>
      </x:c>
      <x:c r="P81" s="15" t="str">
        <x:v>MAIN của bạn</x:v>
      </x:c>
      <x:c r="Q81" s="15" t="str"/>
      <x:c r="R81" s="15" t="str"/>
      <x:c r="S81" s="15" t="str"/>
      <x:c r="T81" s="15" t="str">
        <x:v>assets/memecard/art/song_kiem_lien_hoan.svg</x:v>
      </x:c>
      <x:c r="U81" s="15" t="str">
        <x:v>Main Deck</x:v>
      </x:c>
      <x:c r="V81" s="15" t="str">
        <x:v>Không</x:v>
      </x:c>
    </x:row>
    <x:row r="82" ht="72" customHeight="1">
      <x:c r="A82" s="19" t="n">
        <x:v>76</x:v>
      </x:c>
      <x:c r="B82" s="20" t="str">
        <x:v>vong_hut_sinh_luc</x:v>
      </x:c>
      <x:c r="C82" s="23" t="str">
        <x:v>Vòng Hút Sinh Lực</x:v>
      </x:c>
      <x:c r="D82" s="21" t="str">
        <x:v>Phép</x:v>
      </x:c>
      <x:c r="E82" s="21" t="str">
        <x:v>Trang Bị</x:v>
      </x:c>
      <x:c r="F82" s="21" t="str">
        <x:v>Ám</x:v>
      </x:c>
      <x:c r="G82" s="21" t="str"/>
      <x:c r="H82" s="21" t="str">
        <x:v>R</x:v>
      </x:c>
      <x:c r="I82" s="19"/>
      <x:c r="J82" s="19"/>
      <x:c r="K82" s="19"/>
      <x:c r="L82" s="19" t="n">
        <x:v>3</x:v>
      </x:c>
      <x:c r="M82" s="20" t="str">
        <x:v>Quái được chọn hồi LP cho bạn bằng sát thương chiến đấu thực tế nó gây cho đối thủ.</x:v>
      </x:c>
      <x:c r="N82" s="20" t="str">
        <x:v>equip_lifesteal</x:v>
      </x:c>
      <x:c r="O82" s="22" t="n">
        <x:v>0</x:v>
      </x:c>
      <x:c r="P82" s="20" t="str">
        <x:v>MAIN của bạn</x:v>
      </x:c>
      <x:c r="Q82" s="20" t="str"/>
      <x:c r="R82" s="20" t="str"/>
      <x:c r="S82" s="20" t="str"/>
      <x:c r="T82" s="20" t="str">
        <x:v>assets/memecard/art/vong_hut_sinh_luc.svg</x:v>
      </x:c>
      <x:c r="U82" s="20" t="str">
        <x:v>Main Deck</x:v>
      </x:c>
      <x:c r="V82" s="20" t="str">
        <x:v>Không</x:v>
      </x:c>
    </x:row>
    <x:row r="83" ht="72" customHeight="1">
      <x:c r="A83" s="14" t="n">
        <x:v>77</x:v>
      </x:c>
      <x:c r="B83" s="15" t="str">
        <x:v>vu_dieu_sao</x:v>
      </x:c>
      <x:c r="C83" s="18" t="str">
        <x:v>Vũ Điệu Sao</x:v>
      </x:c>
      <x:c r="D83" s="16" t="str">
        <x:v>Phép</x:v>
      </x:c>
      <x:c r="E83" s="16" t="str">
        <x:v>Thường</x:v>
      </x:c>
      <x:c r="F83" s="16" t="str">
        <x:v>Quang</x:v>
      </x:c>
      <x:c r="G83" s="16" t="str"/>
      <x:c r="H83" s="16" t="str">
        <x:v>R</x:v>
      </x:c>
      <x:c r="I83" s="14"/>
      <x:c r="J83" s="14"/>
      <x:c r="K83" s="14"/>
      <x:c r="L83" s="14" t="n">
        <x:v>3</x:v>
      </x:c>
      <x:c r="M83" s="15" t="str">
        <x:v>Toàn bộ quái của bạn +500 ATK đến hết lượt này.</x:v>
      </x:c>
      <x:c r="N83" s="15" t="str">
        <x:v>boost_all</x:v>
      </x:c>
      <x:c r="O83" s="17" t="n">
        <x:v>500</x:v>
      </x:c>
      <x:c r="P83" s="15" t="str">
        <x:v>MAIN của bạn</x:v>
      </x:c>
      <x:c r="Q83" s="15" t="str"/>
      <x:c r="R83" s="15" t="str"/>
      <x:c r="S83" s="15" t="str"/>
      <x:c r="T83" s="15" t="str">
        <x:v>assets/memecard/art/vu_dieu_sao.svg</x:v>
      </x:c>
      <x:c r="U83" s="15" t="str">
        <x:v>Main Deck</x:v>
      </x:c>
      <x:c r="V83" s="15" t="str">
        <x:v>Không</x:v>
      </x:c>
    </x:row>
    <x:row r="84" ht="72" customHeight="1">
      <x:c r="A84" s="19" t="n">
        <x:v>78</x:v>
      </x:c>
      <x:c r="B84" s="20" t="str">
        <x:v>man_suong_yeu_suc</x:v>
      </x:c>
      <x:c r="C84" s="23" t="str">
        <x:v>Màn Sương Yếu Sức</x:v>
      </x:c>
      <x:c r="D84" s="21" t="str">
        <x:v>Phép</x:v>
      </x:c>
      <x:c r="E84" s="21" t="str">
        <x:v>Thường</x:v>
      </x:c>
      <x:c r="F84" s="21" t="str">
        <x:v>Thủy</x:v>
      </x:c>
      <x:c r="G84" s="21" t="str"/>
      <x:c r="H84" s="21" t="str">
        <x:v>R</x:v>
      </x:c>
      <x:c r="I84" s="19"/>
      <x:c r="J84" s="19"/>
      <x:c r="K84" s="19"/>
      <x:c r="L84" s="19" t="n">
        <x:v>3</x:v>
      </x:c>
      <x:c r="M84" s="20" t="str">
        <x:v>Toàn bộ quái đối thủ -500 ATK đến hết lượt này.</x:v>
      </x:c>
      <x:c r="N84" s="20" t="str">
        <x:v>weaken_all</x:v>
      </x:c>
      <x:c r="O84" s="22" t="n">
        <x:v>500</x:v>
      </x:c>
      <x:c r="P84" s="20" t="str">
        <x:v>MAIN của bạn</x:v>
      </x:c>
      <x:c r="Q84" s="20" t="str"/>
      <x:c r="R84" s="20" t="str"/>
      <x:c r="S84" s="20" t="str"/>
      <x:c r="T84" s="20" t="str">
        <x:v>assets/memecard/art/man_suong_yeu_suc.svg</x:v>
      </x:c>
      <x:c r="U84" s="20" t="str">
        <x:v>Main Deck</x:v>
      </x:c>
      <x:c r="V84" s="20" t="str">
        <x:v>Không</x:v>
      </x:c>
    </x:row>
    <x:row r="85" ht="72" customHeight="1">
      <x:c r="A85" s="14" t="n">
        <x:v>79</x:v>
      </x:c>
      <x:c r="B85" s="15" t="str">
        <x:v>doi_cong_thu</x:v>
      </x:c>
      <x:c r="C85" s="18" t="str">
        <x:v>Đổi Công Thủ</x:v>
      </x:c>
      <x:c r="D85" s="16" t="str">
        <x:v>Phép</x:v>
      </x:c>
      <x:c r="E85" s="16" t="str">
        <x:v>Thường</x:v>
      </x:c>
      <x:c r="F85" s="16" t="str">
        <x:v>Cơ</x:v>
      </x:c>
      <x:c r="G85" s="16" t="str"/>
      <x:c r="H85" s="16" t="str">
        <x:v>R</x:v>
      </x:c>
      <x:c r="I85" s="14"/>
      <x:c r="J85" s="14"/>
      <x:c r="K85" s="14"/>
      <x:c r="L85" s="14" t="n">
        <x:v>3</x:v>
      </x:c>
      <x:c r="M85" s="15" t="str">
        <x:v>Đảo ATK gốc và DEF gốc của quái mạnh nhất bên bạn. Hiệu lực khi quái còn trên sân.</x:v>
      </x:c>
      <x:c r="N85" s="15" t="str">
        <x:v>swap_stats</x:v>
      </x:c>
      <x:c r="O85" s="17" t="n">
        <x:v>1</x:v>
      </x:c>
      <x:c r="P85" s="15" t="str">
        <x:v>MAIN của bạn</x:v>
      </x:c>
      <x:c r="Q85" s="15" t="str"/>
      <x:c r="R85" s="15" t="str"/>
      <x:c r="S85" s="15" t="str"/>
      <x:c r="T85" s="15" t="str">
        <x:v>assets/memecard/art/doi_cong_thu.svg</x:v>
      </x:c>
      <x:c r="U85" s="15" t="str">
        <x:v>Main Deck</x:v>
      </x:c>
      <x:c r="V85" s="15" t="str">
        <x:v>Không</x:v>
      </x:c>
    </x:row>
    <x:row r="86" ht="72" customHeight="1">
      <x:c r="A86" s="19" t="n">
        <x:v>80</x:v>
      </x:c>
      <x:c r="B86" s="20" t="str">
        <x:v>trieu_tap_linh_gac</x:v>
      </x:c>
      <x:c r="C86" s="23" t="str">
        <x:v>Triệu Tập Lính Gác</x:v>
      </x:c>
      <x:c r="D86" s="21" t="str">
        <x:v>Phép</x:v>
      </x:c>
      <x:c r="E86" s="21" t="str">
        <x:v>Thường</x:v>
      </x:c>
      <x:c r="F86" s="21" t="str">
        <x:v>Cơ</x:v>
      </x:c>
      <x:c r="G86" s="21" t="str"/>
      <x:c r="H86" s="21" t="str">
        <x:v>R</x:v>
      </x:c>
      <x:c r="I86" s="19"/>
      <x:c r="J86" s="19"/>
      <x:c r="K86" s="19"/>
      <x:c r="L86" s="19" t="n">
        <x:v>3</x:v>
      </x:c>
      <x:c r="M86" s="20" t="str">
        <x:v>Gọi tối đa 2 Lính Gác Giấy (500 ATK / 700 DEF) vào ô quái trống ở thế thủ. Token không vào mộ hoặc lên tay.</x:v>
      </x:c>
      <x:c r="N86" s="20" t="str">
        <x:v>summon_tokens</x:v>
      </x:c>
      <x:c r="O86" s="22" t="n">
        <x:v>2</x:v>
      </x:c>
      <x:c r="P86" s="20" t="str">
        <x:v>MAIN của bạn</x:v>
      </x:c>
      <x:c r="Q86" s="20" t="str"/>
      <x:c r="R86" s="20" t="str"/>
      <x:c r="S86" s="20" t="str"/>
      <x:c r="T86" s="20" t="str">
        <x:v>assets/memecard/art/trieu_tap_linh_gac.svg</x:v>
      </x:c>
      <x:c r="U86" s="20" t="str">
        <x:v>Main Deck</x:v>
      </x:c>
      <x:c r="V86" s="20" t="str">
        <x:v>Không</x:v>
      </x:c>
    </x:row>
    <x:row r="87" ht="72" customHeight="1">
      <x:c r="A87" s="14" t="n">
        <x:v>81</x:v>
      </x:c>
      <x:c r="B87" s="15" t="str">
        <x:v>la_chan_tinh_the</x:v>
      </x:c>
      <x:c r="C87" s="18" t="str">
        <x:v>Lá Chắn Tinh Thể</x:v>
      </x:c>
      <x:c r="D87" s="16" t="str">
        <x:v>Phép</x:v>
      </x:c>
      <x:c r="E87" s="16" t="str">
        <x:v>Thường</x:v>
      </x:c>
      <x:c r="F87" s="16" t="str">
        <x:v>Thủy</x:v>
      </x:c>
      <x:c r="G87" s="16" t="str"/>
      <x:c r="H87" s="16" t="str">
        <x:v>R</x:v>
      </x:c>
      <x:c r="I87" s="14"/>
      <x:c r="J87" s="14"/>
      <x:c r="K87" s="14"/>
      <x:c r="L87" s="14" t="n">
        <x:v>3</x:v>
      </x:c>
      <x:c r="M87" s="15" t="str">
        <x:v>Tạo khiên hấp thụ tổng cộng 1000 sát thương LP cho bạn; còn hiệu lực cho đến khi dùng hết.</x:v>
      </x:c>
      <x:c r="N87" s="15" t="str">
        <x:v>shield_n</x:v>
      </x:c>
      <x:c r="O87" s="17" t="n">
        <x:v>1000</x:v>
      </x:c>
      <x:c r="P87" s="15" t="str">
        <x:v>MAIN của bạn</x:v>
      </x:c>
      <x:c r="Q87" s="15" t="str"/>
      <x:c r="R87" s="15" t="str"/>
      <x:c r="S87" s="15" t="str"/>
      <x:c r="T87" s="15" t="str">
        <x:v>assets/memecard/art/la_chan_tinh_the.svg</x:v>
      </x:c>
      <x:c r="U87" s="15" t="str">
        <x:v>Main Deck</x:v>
      </x:c>
      <x:c r="V87" s="15" t="str">
        <x:v>Không</x:v>
      </x:c>
    </x:row>
    <x:row r="88" ht="72" customHeight="1">
      <x:c r="A88" s="19" t="n">
        <x:v>82</x:v>
      </x:c>
      <x:c r="B88" s="20" t="str">
        <x:v>xoa_dau_vet</x:v>
      </x:c>
      <x:c r="C88" s="23" t="str">
        <x:v>Xóa Dấu Vết</x:v>
      </x:c>
      <x:c r="D88" s="21" t="str">
        <x:v>Phép</x:v>
      </x:c>
      <x:c r="E88" s="21" t="str">
        <x:v>Thường</x:v>
      </x:c>
      <x:c r="F88" s="21" t="str">
        <x:v>Ám</x:v>
      </x:c>
      <x:c r="G88" s="21" t="str"/>
      <x:c r="H88" s="21" t="str">
        <x:v>R</x:v>
      </x:c>
      <x:c r="I88" s="19"/>
      <x:c r="J88" s="19"/>
      <x:c r="K88" s="19"/>
      <x:c r="L88" s="19" t="n">
        <x:v>3</x:v>
      </x:c>
      <x:c r="M88" s="20" t="str">
        <x:v>Chọn 1 Phép/Bẫy đối thủ trên sân, kể cả Môi Trường hoặc bài úp, và phá hủy nó.</x:v>
      </x:c>
      <x:c r="N88" s="20" t="str">
        <x:v>destroy_spell_target</x:v>
      </x:c>
      <x:c r="O88" s="22" t="n">
        <x:v>1</x:v>
      </x:c>
      <x:c r="P88" s="20" t="str">
        <x:v>MAIN của bạn</x:v>
      </x:c>
      <x:c r="Q88" s="20" t="str"/>
      <x:c r="R88" s="20" t="str"/>
      <x:c r="S88" s="20" t="str"/>
      <x:c r="T88" s="20" t="str">
        <x:v>assets/memecard/art/xoa_dau_vet.svg</x:v>
      </x:c>
      <x:c r="U88" s="20" t="str">
        <x:v>Main Deck</x:v>
      </x:c>
      <x:c r="V88" s="20" t="str">
        <x:v>Không</x:v>
      </x:c>
    </x:row>
    <x:row r="89" ht="72" customHeight="1">
      <x:c r="A89" s="14" t="n">
        <x:v>83</x:v>
      </x:c>
      <x:c r="B89" s="15" t="str">
        <x:v>ky_uc_chien_truong</x:v>
      </x:c>
      <x:c r="C89" s="18" t="str">
        <x:v>Ký Ức Chiến Trường</x:v>
      </x:c>
      <x:c r="D89" s="16" t="str">
        <x:v>Phép</x:v>
      </x:c>
      <x:c r="E89" s="16" t="str">
        <x:v>Thường</x:v>
      </x:c>
      <x:c r="F89" s="16" t="str">
        <x:v>Quang</x:v>
      </x:c>
      <x:c r="G89" s="16" t="str"/>
      <x:c r="H89" s="16" t="str">
        <x:v>R</x:v>
      </x:c>
      <x:c r="I89" s="14"/>
      <x:c r="J89" s="14"/>
      <x:c r="K89" s="14"/>
      <x:c r="L89" s="14" t="n">
        <x:v>3</x:v>
      </x:c>
      <x:c r="M89" s="15" t="str">
        <x:v>Lấy lá Phép gần nhất trong mộ của bạn lên tay, trừ chính lá này.</x:v>
      </x:c>
      <x:c r="N89" s="15" t="str">
        <x:v>recover_grave</x:v>
      </x:c>
      <x:c r="O89" s="17" t="n">
        <x:v>1</x:v>
      </x:c>
      <x:c r="P89" s="15" t="str">
        <x:v>MAIN của bạn</x:v>
      </x:c>
      <x:c r="Q89" s="15" t="str"/>
      <x:c r="R89" s="15" t="str"/>
      <x:c r="S89" s="15" t="str"/>
      <x:c r="T89" s="15" t="str">
        <x:v>assets/memecard/art/ky_uc_chien_truong.svg</x:v>
      </x:c>
      <x:c r="U89" s="15" t="str">
        <x:v>Main Deck</x:v>
      </x:c>
      <x:c r="V89" s="15" t="str">
        <x:v>Không</x:v>
      </x:c>
    </x:row>
    <x:row r="90" ht="72" customHeight="1">
      <x:c r="A90" s="19" t="n">
        <x:v>84</x:v>
      </x:c>
      <x:c r="B90" s="20" t="str">
        <x:v>vuon_sen_binh_yen</x:v>
      </x:c>
      <x:c r="C90" s="23" t="str">
        <x:v>Vườn Sen Bình Yên</x:v>
      </x:c>
      <x:c r="D90" s="21" t="str">
        <x:v>Phép</x:v>
      </x:c>
      <x:c r="E90" s="21" t="str">
        <x:v>Liên Tục</x:v>
      </x:c>
      <x:c r="F90" s="21" t="str">
        <x:v>Phong</x:v>
      </x:c>
      <x:c r="G90" s="21" t="str"/>
      <x:c r="H90" s="21" t="str">
        <x:v>R</x:v>
      </x:c>
      <x:c r="I90" s="19"/>
      <x:c r="J90" s="19"/>
      <x:c r="K90" s="19"/>
      <x:c r="L90" s="19" t="n">
        <x:v>3</x:v>
      </x:c>
      <x:c r="M90" s="20" t="str">
        <x:v>Đầu mỗi lượt của bạn, hồi 300 LP khi lá này đang ngửa trên sân.</x:v>
      </x:c>
      <x:c r="N90" s="20" t="str">
        <x:v>continuous_heal</x:v>
      </x:c>
      <x:c r="O90" s="22" t="n">
        <x:v>300</x:v>
      </x:c>
      <x:c r="P90" s="20" t="str">
        <x:v>MAIN của bạn</x:v>
      </x:c>
      <x:c r="Q90" s="20" t="str"/>
      <x:c r="R90" s="20" t="str"/>
      <x:c r="S90" s="20" t="str"/>
      <x:c r="T90" s="20" t="str">
        <x:v>assets/memecard/art/vuon_sen_binh_yen.svg</x:v>
      </x:c>
      <x:c r="U90" s="20" t="str">
        <x:v>Main Deck</x:v>
      </x:c>
      <x:c r="V90" s="20" t="str">
        <x:v>Không</x:v>
      </x:c>
    </x:row>
    <x:row r="91" ht="72" customHeight="1">
      <x:c r="A91" s="14" t="n">
        <x:v>85</x:v>
      </x:c>
      <x:c r="B91" s="15" t="str">
        <x:v>lo_ren_ruc_lua</x:v>
      </x:c>
      <x:c r="C91" s="18" t="str">
        <x:v>Lò Rèn Rực Lửa</x:v>
      </x:c>
      <x:c r="D91" s="16" t="str">
        <x:v>Phép</x:v>
      </x:c>
      <x:c r="E91" s="16" t="str">
        <x:v>Môi Trường</x:v>
      </x:c>
      <x:c r="F91" s="16" t="str">
        <x:v>Hỏa</x:v>
      </x:c>
      <x:c r="G91" s="16" t="str"/>
      <x:c r="H91" s="16" t="str">
        <x:v>R</x:v>
      </x:c>
      <x:c r="I91" s="14"/>
      <x:c r="J91" s="14"/>
      <x:c r="K91" s="14"/>
      <x:c r="L91" s="14" t="n">
        <x:v>3</x:v>
      </x:c>
      <x:c r="M91" s="15" t="str">
        <x:v>Toàn bộ quái của bạn +300 ATK khi môi trường này còn trên sân.</x:v>
      </x:c>
      <x:c r="N91" s="15" t="str">
        <x:v>field_boost_all</x:v>
      </x:c>
      <x:c r="O91" s="17" t="n">
        <x:v>300</x:v>
      </x:c>
      <x:c r="P91" s="15" t="str">
        <x:v>MAIN của bạn</x:v>
      </x:c>
      <x:c r="Q91" s="15" t="str"/>
      <x:c r="R91" s="15" t="str"/>
      <x:c r="S91" s="15" t="str"/>
      <x:c r="T91" s="15" t="str">
        <x:v>assets/memecard/art/lo_ren_ruc_lua.svg</x:v>
      </x:c>
      <x:c r="U91" s="15" t="str">
        <x:v>Main Deck</x:v>
      </x:c>
      <x:c r="V91" s="15" t="str">
        <x:v>Không</x:v>
      </x:c>
    </x:row>
    <x:row r="92" ht="72" customHeight="1">
      <x:c r="A92" s="19" t="n">
        <x:v>86</x:v>
      </x:c>
      <x:c r="B92" s="20" t="str">
        <x:v>dong_ho_tan_ca</x:v>
      </x:c>
      <x:c r="C92" s="23" t="str">
        <x:v>Đồng Hồ Tan Ca</x:v>
      </x:c>
      <x:c r="D92" s="21" t="str">
        <x:v>Phép</x:v>
      </x:c>
      <x:c r="E92" s="21" t="str">
        <x:v>Liên Tục</x:v>
      </x:c>
      <x:c r="F92" s="21" t="str">
        <x:v>Cơ</x:v>
      </x:c>
      <x:c r="G92" s="21" t="str"/>
      <x:c r="H92" s="21" t="str">
        <x:v>R</x:v>
      </x:c>
      <x:c r="I92" s="19"/>
      <x:c r="J92" s="19"/>
      <x:c r="K92" s="19"/>
      <x:c r="L92" s="19" t="n">
        <x:v>3</x:v>
      </x:c>
      <x:c r="M92" s="20" t="str">
        <x:v>Đầu mỗi lượt của bạn: rút thêm 1 lá. Hết bài vẫn bị xử thua theo luật rút bài.</x:v>
      </x:c>
      <x:c r="N92" s="20" t="str">
        <x:v>continuous_draw</x:v>
      </x:c>
      <x:c r="O92" s="22" t="n">
        <x:v>1</x:v>
      </x:c>
      <x:c r="P92" s="20" t="str">
        <x:v>MAIN của bạn</x:v>
      </x:c>
      <x:c r="Q92" s="20" t="str"/>
      <x:c r="R92" s="20" t="str"/>
      <x:c r="S92" s="20" t="str"/>
      <x:c r="T92" s="20" t="str">
        <x:v>assets/memecard/art/dong_ho_tan_ca.svg</x:v>
      </x:c>
      <x:c r="U92" s="20" t="str">
        <x:v>Main Deck</x:v>
      </x:c>
      <x:c r="V92" s="20" t="str">
        <x:v>Không</x:v>
      </x:c>
    </x:row>
    <x:row r="93" ht="72" customHeight="1">
      <x:c r="A93" s="14" t="n">
        <x:v>87</x:v>
      </x:c>
      <x:c r="B93" s="15" t="str">
        <x:v>bong_dem_mat_ngu</x:v>
      </x:c>
      <x:c r="C93" s="18" t="str">
        <x:v>Bóng Đêm Mất Ngủ</x:v>
      </x:c>
      <x:c r="D93" s="16" t="str">
        <x:v>Phép</x:v>
      </x:c>
      <x:c r="E93" s="16" t="str">
        <x:v>Liên Tục</x:v>
      </x:c>
      <x:c r="F93" s="16" t="str">
        <x:v>Ám</x:v>
      </x:c>
      <x:c r="G93" s="16" t="str"/>
      <x:c r="H93" s="16" t="str">
        <x:v>R</x:v>
      </x:c>
      <x:c r="I93" s="14"/>
      <x:c r="J93" s="14"/>
      <x:c r="K93" s="14"/>
      <x:c r="L93" s="14" t="n">
        <x:v>3</x:v>
      </x:c>
      <x:c r="M93" s="15" t="str">
        <x:v>Đầu mỗi lượt của bạn: gây 250 sát thương LP cho đối thủ.</x:v>
      </x:c>
      <x:c r="N93" s="15" t="str">
        <x:v>continuous_burn</x:v>
      </x:c>
      <x:c r="O93" s="17" t="n">
        <x:v>250</x:v>
      </x:c>
      <x:c r="P93" s="15" t="str">
        <x:v>MAIN của bạn</x:v>
      </x:c>
      <x:c r="Q93" s="15" t="str"/>
      <x:c r="R93" s="15" t="str"/>
      <x:c r="S93" s="15" t="str"/>
      <x:c r="T93" s="15" t="str">
        <x:v>assets/memecard/art/bong_dem_mat_ngu.svg</x:v>
      </x:c>
      <x:c r="U93" s="15" t="str">
        <x:v>Main Deck</x:v>
      </x:c>
      <x:c r="V93" s="15" t="str">
        <x:v>Không</x:v>
      </x:c>
    </x:row>
    <x:row r="94" ht="72" customHeight="1">
      <x:c r="A94" s="19" t="n">
        <x:v>88</x:v>
      </x:c>
      <x:c r="B94" s="20" t="str">
        <x:v>guong_phan_chieu</x:v>
      </x:c>
      <x:c r="C94" s="23" t="str">
        <x:v>Gương Phản Chiếu</x:v>
      </x:c>
      <x:c r="D94" s="21" t="str">
        <x:v>Bẫy</x:v>
      </x:c>
      <x:c r="E94" s="21" t="str">
        <x:v>Phản Đòn</x:v>
      </x:c>
      <x:c r="F94" s="21" t="str">
        <x:v>Quang</x:v>
      </x:c>
      <x:c r="G94" s="21" t="str"/>
      <x:c r="H94" s="21" t="str">
        <x:v>R</x:v>
      </x:c>
      <x:c r="I94" s="19"/>
      <x:c r="J94" s="19"/>
      <x:c r="K94" s="19"/>
      <x:c r="L94" s="19" t="n">
        <x:v>3</x:v>
      </x:c>
      <x:c r="M94" s="20" t="str">
        <x:v>Tự lật khi bị tấn công: vô hiệu đòn đánh và gây 700 sát thương LP cho bên tấn công.</x:v>
      </x:c>
      <x:c r="N94" s="20" t="str">
        <x:v>reflect_attack</x:v>
      </x:c>
      <x:c r="O94" s="22" t="n">
        <x:v>700</x:v>
      </x:c>
      <x:c r="P94" s="20" t="str">
        <x:v>Tự phản đòn từ lượt sau khi úp</x:v>
      </x:c>
      <x:c r="Q94" s="20" t="str"/>
      <x:c r="R94" s="20" t="str"/>
      <x:c r="S94" s="20" t="str"/>
      <x:c r="T94" s="20" t="str">
        <x:v>assets/memecard/art/guong_phan_chieu.svg</x:v>
      </x:c>
      <x:c r="U94" s="20" t="str">
        <x:v>Main Deck</x:v>
      </x:c>
      <x:c r="V94" s="20" t="str">
        <x:v>Không</x:v>
      </x:c>
    </x:row>
    <x:row r="95" ht="72" customHeight="1">
      <x:c r="A95" s="14" t="n">
        <x:v>89</x:v>
      </x:c>
      <x:c r="B95" s="15" t="str">
        <x:v>bay_bang_tinh</x:v>
      </x:c>
      <x:c r="C95" s="18" t="str">
        <x:v>Bẫy Băng Tĩnh</x:v>
      </x:c>
      <x:c r="D95" s="16" t="str">
        <x:v>Bẫy</x:v>
      </x:c>
      <x:c r="E95" s="16" t="str">
        <x:v>Phản Đòn</x:v>
      </x:c>
      <x:c r="F95" s="16" t="str">
        <x:v>Thủy</x:v>
      </x:c>
      <x:c r="G95" s="16" t="str"/>
      <x:c r="H95" s="16" t="str">
        <x:v>R</x:v>
      </x:c>
      <x:c r="I95" s="14"/>
      <x:c r="J95" s="14"/>
      <x:c r="K95" s="14"/>
      <x:c r="L95" s="14" t="n">
        <x:v>3</x:v>
      </x:c>
      <x:c r="M95" s="15" t="str">
        <x:v>Tự lật khi bị tấn công: quái tấn công -800 ATK đến hết lượt, sau đó trận đánh tiếp tục.</x:v>
      </x:c>
      <x:c r="N95" s="15" t="str">
        <x:v>weaken_attacker</x:v>
      </x:c>
      <x:c r="O95" s="17" t="n">
        <x:v>800</x:v>
      </x:c>
      <x:c r="P95" s="15" t="str">
        <x:v>Tự phản đòn từ lượt sau khi úp</x:v>
      </x:c>
      <x:c r="Q95" s="15" t="str"/>
      <x:c r="R95" s="15" t="str"/>
      <x:c r="S95" s="15" t="str"/>
      <x:c r="T95" s="15" t="str">
        <x:v>assets/memecard/art/bay_bang_tinh.svg</x:v>
      </x:c>
      <x:c r="U95" s="15" t="str">
        <x:v>Main Deck</x:v>
      </x:c>
      <x:c r="V95" s="15" t="str">
        <x:v>Không</x:v>
      </x:c>
    </x:row>
    <x:row r="96" ht="72" customHeight="1">
      <x:c r="A96" s="19" t="n">
        <x:v>90</x:v>
      </x:c>
      <x:c r="B96" s="20" t="str">
        <x:v>phong_an_ma_phap</x:v>
      </x:c>
      <x:c r="C96" s="23" t="str">
        <x:v>Phong Ấn Ma Pháp</x:v>
      </x:c>
      <x:c r="D96" s="21" t="str">
        <x:v>Bẫy</x:v>
      </x:c>
      <x:c r="E96" s="21" t="str">
        <x:v>Phản Đòn</x:v>
      </x:c>
      <x:c r="F96" s="21" t="str">
        <x:v>Ám</x:v>
      </x:c>
      <x:c r="G96" s="21" t="str"/>
      <x:c r="H96" s="21" t="str">
        <x:v>R</x:v>
      </x:c>
      <x:c r="I96" s="19"/>
      <x:c r="J96" s="19"/>
      <x:c r="K96" s="19"/>
      <x:c r="L96" s="19" t="n">
        <x:v>3</x:v>
      </x:c>
      <x:c r="M96" s="20" t="str">
        <x:v>Tự lật khi đối thủ dùng Phép: vô hiệu lá Phép đó và gửi cả hai lá xuống mộ.</x:v>
      </x:c>
      <x:c r="N96" s="20" t="str">
        <x:v>negate_spell</x:v>
      </x:c>
      <x:c r="O96" s="22" t="n">
        <x:v>0</x:v>
      </x:c>
      <x:c r="P96" s="20" t="str">
        <x:v>Tự phản đòn từ lượt sau khi úp</x:v>
      </x:c>
      <x:c r="Q96" s="20" t="str"/>
      <x:c r="R96" s="20" t="str"/>
      <x:c r="S96" s="20" t="str"/>
      <x:c r="T96" s="20" t="str">
        <x:v>assets/memecard/art/phong_an_ma_phap.svg</x:v>
      </x:c>
      <x:c r="U96" s="20" t="str">
        <x:v>Main Deck</x:v>
      </x:c>
      <x:c r="V96" s="20" t="str">
        <x:v>Không</x:v>
      </x:c>
    </x:row>
    <x:row r="97" ht="72" customHeight="1">
      <x:c r="A97" s="14" t="n">
        <x:v>91</x:v>
      </x:c>
      <x:c r="B97" s="15" t="str">
        <x:v>mai_phuc_san_truong</x:v>
      </x:c>
      <x:c r="C97" s="18" t="str">
        <x:v>Mai Phục Sân Trường</x:v>
      </x:c>
      <x:c r="D97" s="16" t="str">
        <x:v>Bẫy</x:v>
      </x:c>
      <x:c r="E97" s="16" t="str">
        <x:v>Phản Đòn</x:v>
      </x:c>
      <x:c r="F97" s="16" t="str">
        <x:v>Cơ</x:v>
      </x:c>
      <x:c r="G97" s="16" t="str"/>
      <x:c r="H97" s="16" t="str">
        <x:v>R</x:v>
      </x:c>
      <x:c r="I97" s="14"/>
      <x:c r="J97" s="14"/>
      <x:c r="K97" s="14"/>
      <x:c r="L97" s="14" t="n">
        <x:v>3</x:v>
      </x:c>
      <x:c r="M97" s="15" t="str">
        <x:v>Từ lượt sau khi úp: tự lật khi đối thủ tấn công, phá toàn bộ quái thế công đang ngửa của họ và vô hiệu đòn đánh.</x:v>
      </x:c>
      <x:c r="N97" s="15" t="str">
        <x:v>destroy_attack_position</x:v>
      </x:c>
      <x:c r="O97" s="17" t="n">
        <x:v>0</x:v>
      </x:c>
      <x:c r="P97" s="15" t="str">
        <x:v>Tự phản đòn từ lượt sau khi úp</x:v>
      </x:c>
      <x:c r="Q97" s="15" t="str"/>
      <x:c r="R97" s="15" t="str"/>
      <x:c r="S97" s="15" t="str"/>
      <x:c r="T97" s="15" t="str">
        <x:v>assets/memecard/art/mai_phuc_san_truong.svg</x:v>
      </x:c>
      <x:c r="U97" s="15" t="str">
        <x:v>Main Deck</x:v>
      </x:c>
      <x:c r="V97" s="15" t="str">
        <x:v>Không</x:v>
      </x:c>
    </x:row>
    <x:row r="98" ht="72" customHeight="1">
      <x:c r="A98" s="19" t="n">
        <x:v>92</x:v>
      </x:c>
      <x:c r="B98" s="20" t="str">
        <x:v>loi_nguyen_deadline</x:v>
      </x:c>
      <x:c r="C98" s="23" t="str">
        <x:v>Lời Nguyền Deadline</x:v>
      </x:c>
      <x:c r="D98" s="21" t="str">
        <x:v>Bẫy</x:v>
      </x:c>
      <x:c r="E98" s="21" t="str">
        <x:v>Thường</x:v>
      </x:c>
      <x:c r="F98" s="21" t="str">
        <x:v>Ám</x:v>
      </x:c>
      <x:c r="G98" s="21" t="str"/>
      <x:c r="H98" s="21" t="str">
        <x:v>R</x:v>
      </x:c>
      <x:c r="I98" s="19"/>
      <x:c r="J98" s="19"/>
      <x:c r="K98" s="19"/>
      <x:c r="L98" s="19" t="n">
        <x:v>3</x:v>
      </x:c>
      <x:c r="M98" s="20" t="str">
        <x:v>Kích hoạt trong MAIN từ lượt sau khi úp: đối thủ bỏ lá có ATK cao nhất trên tay vào mộ.</x:v>
      </x:c>
      <x:c r="N98" s="20" t="str">
        <x:v>discard_n</x:v>
      </x:c>
      <x:c r="O98" s="22" t="n">
        <x:v>1</x:v>
      </x:c>
      <x:c r="P98" s="20" t="str">
        <x:v>MAIN từ lượt sau khi úp</x:v>
      </x:c>
      <x:c r="Q98" s="20" t="str"/>
      <x:c r="R98" s="20" t="str"/>
      <x:c r="S98" s="20" t="str"/>
      <x:c r="T98" s="20" t="str">
        <x:v>assets/memecard/art/loi_nguyen_deadline.svg</x:v>
      </x:c>
      <x:c r="U98" s="20" t="str">
        <x:v>Main Deck</x:v>
      </x:c>
      <x:c r="V98" s="20" t="str">
        <x:v>Không</x:v>
      </x:c>
    </x:row>
    <x:row r="99" ht="72" customHeight="1">
      <x:c r="A99" s="14" t="n">
        <x:v>93</x:v>
      </x:c>
      <x:c r="B99" s="15" t="str">
        <x:v>cuu_vien_luc_nua_dem</x:v>
      </x:c>
      <x:c r="C99" s="18" t="str">
        <x:v>Cứu Viện Lúc Nửa Đêm</x:v>
      </x:c>
      <x:c r="D99" s="16" t="str">
        <x:v>Bẫy</x:v>
      </x:c>
      <x:c r="E99" s="16" t="str">
        <x:v>Thường</x:v>
      </x:c>
      <x:c r="F99" s="16" t="str">
        <x:v>Quang</x:v>
      </x:c>
      <x:c r="G99" s="16" t="str"/>
      <x:c r="H99" s="16" t="str">
        <x:v>R</x:v>
      </x:c>
      <x:c r="I99" s="14"/>
      <x:c r="J99" s="14"/>
      <x:c r="K99" s="14"/>
      <x:c r="L99" s="14" t="n">
        <x:v>3</x:v>
      </x:c>
      <x:c r="M99" s="15" t="str">
        <x:v>Từ lượt sau khi úp, kích hoạt trong MAIN: hồi sinh quái 4 sao trở xuống mạnh nhất trong mộ ở thế thủ.</x:v>
      </x:c>
      <x:c r="N99" s="15" t="str">
        <x:v>revive</x:v>
      </x:c>
      <x:c r="O99" s="17" t="n">
        <x:v>1</x:v>
      </x:c>
      <x:c r="P99" s="15" t="str">
        <x:v>MAIN từ lượt sau khi úp</x:v>
      </x:c>
      <x:c r="Q99" s="15" t="str"/>
      <x:c r="R99" s="15" t="str"/>
      <x:c r="S99" s="15" t="str"/>
      <x:c r="T99" s="15" t="str">
        <x:v>assets/memecard/art/cuu_vien_luc_nua_dem.svg</x:v>
      </x:c>
      <x:c r="U99" s="15" t="str">
        <x:v>Main Deck</x:v>
      </x:c>
      <x:c r="V99" s="15" t="str">
        <x:v>Không</x:v>
      </x:c>
    </x:row>
    <x:row r="100" ht="72" customHeight="1">
      <x:c r="A100" s="19" t="n">
        <x:v>94</x:v>
      </x:c>
      <x:c r="B100" s="20" t="str">
        <x:v>mua_thien_thach</x:v>
      </x:c>
      <x:c r="C100" s="23" t="str">
        <x:v>Mưa Thiên Thạch</x:v>
      </x:c>
      <x:c r="D100" s="21" t="str">
        <x:v>Bẫy</x:v>
      </x:c>
      <x:c r="E100" s="21" t="str">
        <x:v>Thường</x:v>
      </x:c>
      <x:c r="F100" s="21" t="str">
        <x:v>Hỏa</x:v>
      </x:c>
      <x:c r="G100" s="21" t="str"/>
      <x:c r="H100" s="21" t="str">
        <x:v>R</x:v>
      </x:c>
      <x:c r="I100" s="19"/>
      <x:c r="J100" s="19"/>
      <x:c r="K100" s="19"/>
      <x:c r="L100" s="19" t="n">
        <x:v>3</x:v>
      </x:c>
      <x:c r="M100" s="20" t="str">
        <x:v>Từ lượt sau khi úp, kích hoạt trong MAIN: gây 800 sát thương LP.</x:v>
      </x:c>
      <x:c r="N100" s="20" t="str">
        <x:v>burn_n</x:v>
      </x:c>
      <x:c r="O100" s="22" t="n">
        <x:v>800</x:v>
      </x:c>
      <x:c r="P100" s="20" t="str">
        <x:v>MAIN từ lượt sau khi úp</x:v>
      </x:c>
      <x:c r="Q100" s="20" t="str"/>
      <x:c r="R100" s="20" t="str"/>
      <x:c r="S100" s="20" t="str"/>
      <x:c r="T100" s="20" t="str">
        <x:v>assets/memecard/art/mua_thien_thach.svg</x:v>
      </x:c>
      <x:c r="U100" s="20" t="str">
        <x:v>Main Deck</x:v>
      </x:c>
      <x:c r="V100" s="20" t="str">
        <x:v>Không</x:v>
      </x:c>
    </x:row>
    <x:row r="101" ht="72" customHeight="1">
      <x:c r="A101" s="14" t="n">
        <x:v>95</x:v>
      </x:c>
      <x:c r="B101" s="15" t="str">
        <x:v>ket_gioi_bao_ho</x:v>
      </x:c>
      <x:c r="C101" s="18" t="str">
        <x:v>Kết Giới Bảo Hộ</x:v>
      </x:c>
      <x:c r="D101" s="16" t="str">
        <x:v>Bẫy</x:v>
      </x:c>
      <x:c r="E101" s="16" t="str">
        <x:v>Thường</x:v>
      </x:c>
      <x:c r="F101" s="16" t="str">
        <x:v>Phong</x:v>
      </x:c>
      <x:c r="G101" s="16" t="str"/>
      <x:c r="H101" s="16" t="str">
        <x:v>R</x:v>
      </x:c>
      <x:c r="I101" s="14"/>
      <x:c r="J101" s="14"/>
      <x:c r="K101" s="14"/>
      <x:c r="L101" s="14" t="n">
        <x:v>3</x:v>
      </x:c>
      <x:c r="M101" s="15" t="str">
        <x:v>Từ lượt sau khi úp, kích hoạt trong MAIN: tạo khiên hấp thụ tổng cộng 1200 sát thương LP.</x:v>
      </x:c>
      <x:c r="N101" s="15" t="str">
        <x:v>shield_n</x:v>
      </x:c>
      <x:c r="O101" s="17" t="n">
        <x:v>1200</x:v>
      </x:c>
      <x:c r="P101" s="15" t="str">
        <x:v>MAIN từ lượt sau khi úp</x:v>
      </x:c>
      <x:c r="Q101" s="15" t="str"/>
      <x:c r="R101" s="15" t="str"/>
      <x:c r="S101" s="15" t="str"/>
      <x:c r="T101" s="15" t="str">
        <x:v>assets/memecard/art/ket_gioi_bao_ho.svg</x:v>
      </x:c>
      <x:c r="U101" s="15" t="str">
        <x:v>Main Deck</x:v>
      </x:c>
      <x:c r="V101" s="15" t="str">
        <x:v>Không</x:v>
      </x:c>
    </x:row>
    <x:row r="102" ht="72" customHeight="1">
      <x:c r="A102" s="19" t="n">
        <x:v>96</x:v>
      </x:c>
      <x:c r="B102" s="20" t="str">
        <x:v>cuon_bang_ky_uc</x:v>
      </x:c>
      <x:c r="C102" s="23" t="str">
        <x:v>Cuộn Băng Ký Ức</x:v>
      </x:c>
      <x:c r="D102" s="21" t="str">
        <x:v>Bẫy</x:v>
      </x:c>
      <x:c r="E102" s="21" t="str">
        <x:v>Thường</x:v>
      </x:c>
      <x:c r="F102" s="21" t="str">
        <x:v>Cơ</x:v>
      </x:c>
      <x:c r="G102" s="21" t="str"/>
      <x:c r="H102" s="21" t="str">
        <x:v>R</x:v>
      </x:c>
      <x:c r="I102" s="19"/>
      <x:c r="J102" s="19"/>
      <x:c r="K102" s="19"/>
      <x:c r="L102" s="19" t="n">
        <x:v>3</x:v>
      </x:c>
      <x:c r="M102" s="20" t="str">
        <x:v>Từ lượt sau khi úp, kích hoạt trong MAIN: rút 2 lá.</x:v>
      </x:c>
      <x:c r="N102" s="20" t="str">
        <x:v>draw_n</x:v>
      </x:c>
      <x:c r="O102" s="22" t="n">
        <x:v>2</x:v>
      </x:c>
      <x:c r="P102" s="20" t="str">
        <x:v>MAIN từ lượt sau khi úp</x:v>
      </x:c>
      <x:c r="Q102" s="20" t="str"/>
      <x:c r="R102" s="20" t="str"/>
      <x:c r="S102" s="20" t="str"/>
      <x:c r="T102" s="20" t="str">
        <x:v>assets/memecard/art/cuon_bang_ky_uc.svg</x:v>
      </x:c>
      <x:c r="U102" s="20" t="str">
        <x:v>Main Deck</x:v>
      </x:c>
      <x:c r="V102" s="20" t="str">
        <x:v>Không</x:v>
      </x:c>
    </x:row>
    <x:row r="103" ht="72" customHeight="1">
      <x:c r="A103" s="14" t="n">
        <x:v>97</x:v>
      </x:c>
      <x:c r="B103" s="15" t="str">
        <x:v>lo_xo_tra_hang</x:v>
      </x:c>
      <x:c r="C103" s="18" t="str">
        <x:v>Lò Xo Trả Hàng</x:v>
      </x:c>
      <x:c r="D103" s="16" t="str">
        <x:v>Bẫy</x:v>
      </x:c>
      <x:c r="E103" s="16" t="str">
        <x:v>Thường</x:v>
      </x:c>
      <x:c r="F103" s="16" t="str">
        <x:v>Phong</x:v>
      </x:c>
      <x:c r="G103" s="16" t="str"/>
      <x:c r="H103" s="16" t="str">
        <x:v>R</x:v>
      </x:c>
      <x:c r="I103" s="14"/>
      <x:c r="J103" s="14"/>
      <x:c r="K103" s="14"/>
      <x:c r="L103" s="14" t="n">
        <x:v>3</x:v>
      </x:c>
      <x:c r="M103" s="15" t="str">
        <x:v>Từ lượt sau khi úp, kích hoạt trong MAIN: trả quái mạnh nhất của đối thủ về tay.</x:v>
      </x:c>
      <x:c r="N103" s="15" t="str">
        <x:v>bounce_strongest</x:v>
      </x:c>
      <x:c r="O103" s="17" t="n">
        <x:v>1</x:v>
      </x:c>
      <x:c r="P103" s="15" t="str">
        <x:v>MAIN từ lượt sau khi úp</x:v>
      </x:c>
      <x:c r="Q103" s="15" t="str"/>
      <x:c r="R103" s="15" t="str"/>
      <x:c r="S103" s="15" t="str"/>
      <x:c r="T103" s="15" t="str">
        <x:v>assets/memecard/art/lo_xo_tra_hang.svg</x:v>
      </x:c>
      <x:c r="U103" s="15" t="str">
        <x:v>Main Deck</x:v>
      </x:c>
      <x:c r="V103" s="15" t="str">
        <x:v>Không</x:v>
      </x:c>
    </x:row>
    <x:row r="104" ht="72" customHeight="1">
      <x:c r="A104" s="19" t="n">
        <x:v>98</x:v>
      </x:c>
      <x:c r="B104" s="20" t="str">
        <x:v>tieng_chuong_hoi_phuc</x:v>
      </x:c>
      <x:c r="C104" s="23" t="str">
        <x:v>Tiếng Chuông Hồi Phục</x:v>
      </x:c>
      <x:c r="D104" s="21" t="str">
        <x:v>Bẫy</x:v>
      </x:c>
      <x:c r="E104" s="21" t="str">
        <x:v>Liên Tục</x:v>
      </x:c>
      <x:c r="F104" s="21" t="str">
        <x:v>Quang</x:v>
      </x:c>
      <x:c r="G104" s="21" t="str"/>
      <x:c r="H104" s="21" t="str">
        <x:v>R</x:v>
      </x:c>
      <x:c r="I104" s="19"/>
      <x:c r="J104" s="19"/>
      <x:c r="K104" s="19"/>
      <x:c r="L104" s="19" t="n">
        <x:v>3</x:v>
      </x:c>
      <x:c r="M104" s="20" t="str">
        <x:v>Lật trong MAIN từ lượt sau khi úp. Đầu mỗi lượt của bạn sau đó: hồi 400 LP.</x:v>
      </x:c>
      <x:c r="N104" s="20" t="str">
        <x:v>continuous_heal</x:v>
      </x:c>
      <x:c r="O104" s="22" t="n">
        <x:v>400</x:v>
      </x:c>
      <x:c r="P104" s="20" t="str">
        <x:v>MAIN từ lượt sau khi úp</x:v>
      </x:c>
      <x:c r="Q104" s="20" t="str"/>
      <x:c r="R104" s="20" t="str"/>
      <x:c r="S104" s="20" t="str"/>
      <x:c r="T104" s="20" t="str">
        <x:v>assets/memecard/art/tieng_chuong_hoi_phuc.svg</x:v>
      </x:c>
      <x:c r="U104" s="20" t="str">
        <x:v>Main Deck</x:v>
      </x:c>
      <x:c r="V104" s="20" t="str">
        <x:v>Không</x:v>
      </x:c>
    </x:row>
    <x:row r="105" ht="72" customHeight="1">
      <x:c r="A105" s="14" t="n">
        <x:v>99</x:v>
      </x:c>
      <x:c r="B105" s="15" t="str">
        <x:v>mieng_vuc_tinh_lang</x:v>
      </x:c>
      <x:c r="C105" s="18" t="str">
        <x:v>Miệng Vực Tĩnh Lặng</x:v>
      </x:c>
      <x:c r="D105" s="16" t="str">
        <x:v>Bẫy</x:v>
      </x:c>
      <x:c r="E105" s="16" t="str">
        <x:v>Thường</x:v>
      </x:c>
      <x:c r="F105" s="16" t="str">
        <x:v>Ám</x:v>
      </x:c>
      <x:c r="G105" s="16" t="str"/>
      <x:c r="H105" s="16" t="str">
        <x:v>R</x:v>
      </x:c>
      <x:c r="I105" s="14"/>
      <x:c r="J105" s="14"/>
      <x:c r="K105" s="14"/>
      <x:c r="L105" s="14" t="n">
        <x:v>3</x:v>
      </x:c>
      <x:c r="M105" s="15" t="str">
        <x:v>Từ lượt sau khi úp, kích hoạt trong MAIN: chọn 1 quái đối thủ trên sân và phá hủy nó.</x:v>
      </x:c>
      <x:c r="N105" s="15" t="str">
        <x:v>destroy_monster_target</x:v>
      </x:c>
      <x:c r="O105" s="17" t="n">
        <x:v>1</x:v>
      </x:c>
      <x:c r="P105" s="15" t="str">
        <x:v>MAIN từ lượt sau khi úp</x:v>
      </x:c>
      <x:c r="Q105" s="15" t="str"/>
      <x:c r="R105" s="15" t="str"/>
      <x:c r="S105" s="15" t="str"/>
      <x:c r="T105" s="15" t="str">
        <x:v>assets/memecard/art/mieng_vuc_tinh_lang.svg</x:v>
      </x:c>
      <x:c r="U105" s="15" t="str">
        <x:v>Main Deck</x:v>
      </x:c>
      <x:c r="V105" s="15" t="str">
        <x:v>Không</x:v>
      </x:c>
    </x:row>
    <x:row r="106" ht="72" customHeight="1">
      <x:c r="A106" s="19" t="n">
        <x:v>100</x:v>
      </x:c>
      <x:c r="B106" s="20" t="str">
        <x:v>phan_don_cuoi_cung</x:v>
      </x:c>
      <x:c r="C106" s="23" t="str">
        <x:v>Phản Đòn Cuối Cùng</x:v>
      </x:c>
      <x:c r="D106" s="21" t="str">
        <x:v>Bẫy</x:v>
      </x:c>
      <x:c r="E106" s="21" t="str">
        <x:v>Phản Đòn</x:v>
      </x:c>
      <x:c r="F106" s="21" t="str">
        <x:v>Hỏa</x:v>
      </x:c>
      <x:c r="G106" s="21" t="str"/>
      <x:c r="H106" s="21" t="str">
        <x:v>R</x:v>
      </x:c>
      <x:c r="I106" s="19"/>
      <x:c r="J106" s="19"/>
      <x:c r="K106" s="19"/>
      <x:c r="L106" s="19" t="n">
        <x:v>3</x:v>
      </x:c>
      <x:c r="M106" s="20" t="str">
        <x:v>Tự lật khi bị tấn công: phá hủy quái tấn công và vô hiệu đòn đánh.</x:v>
      </x:c>
      <x:c r="N106" s="20" t="str">
        <x:v>destroy_attacker</x:v>
      </x:c>
      <x:c r="O106" s="22" t="n">
        <x:v>0</x:v>
      </x:c>
      <x:c r="P106" s="20" t="str">
        <x:v>Tự phản đòn từ lượt sau khi úp</x:v>
      </x:c>
      <x:c r="Q106" s="20" t="str"/>
      <x:c r="R106" s="20" t="str"/>
      <x:c r="S106" s="20" t="str"/>
      <x:c r="T106" s="20" t="str">
        <x:v>assets/memecard/art/phan_don_cuoi_cung.svg</x:v>
      </x:c>
      <x:c r="U106" s="20" t="str">
        <x:v>Main Deck</x:v>
      </x:c>
      <x:c r="V106" s="20" t="str">
        <x:v>Không</x:v>
      </x:c>
    </x:row>
  </x:sheetData>
  <x:mergeCells>
    <x:mergeCell ref="A1:J1"/>
    <x:mergeCell ref="A2:L2"/>
    <x:mergeCell ref="A3:L3"/>
    <x:mergeCell ref="A4:B4"/>
  </x:mergeCells>
  <x:pageMargins left="0.7" right="0.7" top="0.75" bottom="0.75" header="0.3" footer="0.3"/>
  <x:tableParts count="1">
    <x:tablePart xmlns:r="http://schemas.openxmlformats.org/officeDocument/2006/relationships" r:id="Rf089b06f42f9414b"/>
  </x:tableParts>
</x:worksheet>
</file>

<file path=xl/worksheets/sheet2.xml><?xml version="1.0" encoding="utf-8"?>
<x:worksheet xmlns:x="http://schemas.openxmlformats.org/spreadsheetml/2006/main">
  <x:sheetPr>
    <x:tabColor rgb="FF163C4F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9" hidden="0" customWidth="1"/>
    <x:col min="2" max="2" width="15" hidden="0" customWidth="1"/>
    <x:col min="3" max="3" width="96" hidden="0" customWidth="1"/>
    <x:col min="4" max="4" width="10" hidden="0" customWidth="1"/>
  </x:cols>
  <x:sheetData>
    <x:row r="1" ht="32" customHeight="1">
      <x:c r="A1" s="6" t="str">
        <x:v>TRA CỨU HIỆU ỨNG &amp; ĐẶC TÍNH</x:v>
      </x:c>
      <x:c r="B1" s="2"/>
      <x:c r="C1" s="2"/>
      <x:c r="D1" s="2"/>
    </x:row>
    <x:row r="2" ht="23" customHeight="1">
      <x:c r="A2" s="7" t="str">
        <x:v>Nguồn: assets/js/meme_rules.js · Diễn giải kết hợp mô tả lá trong danh mục.</x:v>
      </x:c>
      <x:c r="B2" s="7"/>
      <x:c r="C2" s="7"/>
      <x:c r="D2" s="7"/>
    </x:row>
    <x:row r="3" ht="23" customHeight="1">
      <x:c r="A3" s="7" t="str">
        <x:v>Giá trị, thời điểm và tộc cụ thể xem từng lá. Bẫy phải úp từ lượt trước.</x:v>
      </x:c>
      <x:c r="B3" s="7"/>
      <x:c r="C3" s="7"/>
      <x:c r="D3" s="7"/>
    </x:row>
    <x:row r="4" ht="23" customHeight="1">
      <x:c r="A4" s="2"/>
      <x:c r="B4" s="2"/>
      <x:c r="C4" s="2"/>
      <x:c r="D4" s="2"/>
    </x:row>
    <x:row r="5" ht="23" customHeight="1">
      <x:c r="A5" s="2"/>
      <x:c r="B5" s="2"/>
      <x:c r="C5" s="2"/>
      <x:c r="D5" s="2"/>
    </x:row>
    <x:row r="6" ht="34" customHeight="1">
      <x:c r="A6" s="5" t="str">
        <x:v>Mã trong game</x:v>
      </x:c>
      <x:c r="B6" s="5" t="str">
        <x:v>Nhóm</x:v>
      </x:c>
      <x:c r="C6" s="5" t="str">
        <x:v>Ý nghĩa</x:v>
      </x:c>
      <x:c r="D6" s="5" t="str">
        <x:v>Số lá</x:v>
      </x:c>
    </x:row>
    <x:row r="7" ht="52" customHeight="1">
      <x:c r="A7" s="15" t="str">
        <x:v>boost_all</x:v>
      </x:c>
      <x:c r="B7" s="15" t="str">
        <x:v>Hiệu ứng</x:v>
      </x:c>
      <x:c r="C7" s="15" t="str">
        <x:v>Tăng ATK toàn bộ quái mình đến hết lượt hiện tại.</x:v>
      </x:c>
      <x:c r="D7" s="14" t="n">
        <x:f>COUNTIF('Danh muc bai'!$N$7:$N$106,A7)</x:f>
        <x:v>2</x:v>
      </x:c>
    </x:row>
    <x:row r="8" ht="52" customHeight="1">
      <x:c r="A8" s="20" t="str">
        <x:v>bounce_strongest</x:v>
      </x:c>
      <x:c r="B8" s="20" t="str">
        <x:v>Hiệu ứng</x:v>
      </x:c>
      <x:c r="C8" s="20" t="str">
        <x:v>Trả quái có ATK cao nhất của đối thủ về tay.</x:v>
      </x:c>
      <x:c r="D8" s="19" t="n">
        <x:f>COUNTIF('Danh muc bai'!$N$7:$N$106,A8)</x:f>
        <x:v>3</x:v>
      </x:c>
    </x:row>
    <x:row r="9" ht="52" customHeight="1">
      <x:c r="A9" s="15" t="str">
        <x:v>burn_n</x:v>
      </x:c>
      <x:c r="B9" s="15" t="str">
        <x:v>Hiệu ứng</x:v>
      </x:c>
      <x:c r="C9" s="15" t="str">
        <x:v>Gây sát thương LP cho đối thủ; khiên có thể hấp thụ.</x:v>
      </x:c>
      <x:c r="D9" s="14" t="n">
        <x:f>COUNTIF('Danh muc bai'!$N$7:$N$106,A9)</x:f>
        <x:v>10</x:v>
      </x:c>
    </x:row>
    <x:row r="10" ht="52" customHeight="1">
      <x:c r="A10" s="20" t="str">
        <x:v>continuous_burn</x:v>
      </x:c>
      <x:c r="B10" s="20" t="str">
        <x:v>Hiệu ứng</x:v>
      </x:c>
      <x:c r="C10" s="20" t="str">
        <x:v>Đầu mỗi lượt của chủ lá bài: gây sát thương LP cho đối thủ.</x:v>
      </x:c>
      <x:c r="D10" s="19" t="n">
        <x:f>COUNTIF('Danh muc bai'!$N$7:$N$106,A10)</x:f>
        <x:v>1</x:v>
      </x:c>
    </x:row>
    <x:row r="11" ht="52" customHeight="1">
      <x:c r="A11" s="15" t="str">
        <x:v>continuous_draw</x:v>
      </x:c>
      <x:c r="B11" s="15" t="str">
        <x:v>Hiệu ứng</x:v>
      </x:c>
      <x:c r="C11" s="15" t="str">
        <x:v>Đầu mỗi lượt của chủ lá bài: rút thêm bài khi lá đang ngửa trên sân.</x:v>
      </x:c>
      <x:c r="D11" s="14" t="n">
        <x:f>COUNTIF('Danh muc bai'!$N$7:$N$106,A11)</x:f>
        <x:v>1</x:v>
      </x:c>
    </x:row>
    <x:row r="12" ht="52" customHeight="1">
      <x:c r="A12" s="20" t="str">
        <x:v>continuous_heal</x:v>
      </x:c>
      <x:c r="B12" s="20" t="str">
        <x:v>Hiệu ứng</x:v>
      </x:c>
      <x:c r="C12" s="20" t="str">
        <x:v>Đầu mỗi lượt của chủ lá bài: hồi LP khi lá đang ngửa trên sân.</x:v>
      </x:c>
      <x:c r="D12" s="19" t="n">
        <x:f>COUNTIF('Danh muc bai'!$N$7:$N$106,A12)</x:f>
        <x:v>2</x:v>
      </x:c>
    </x:row>
    <x:row r="13" ht="52" customHeight="1">
      <x:c r="A13" s="15" t="str">
        <x:v>continuous_tribe_boost</x:v>
      </x:c>
      <x:c r="B13" s="15" t="str">
        <x:v>Hiệu ứng</x:v>
      </x:c>
      <x:c r="C13" s="15" t="str">
        <x:v>Tăng ATK các quái cùng tộc chỉ định khi lá đang ngửa trên sân.</x:v>
      </x:c>
      <x:c r="D13" s="14" t="n">
        <x:f>COUNTIF('Danh muc bai'!$N$7:$N$106,A13)</x:f>
        <x:v>3</x:v>
      </x:c>
    </x:row>
    <x:row r="14" ht="52" customHeight="1">
      <x:c r="A14" s="20" t="str">
        <x:v>destroy_all_opponent_monsters</x:v>
      </x:c>
      <x:c r="B14" s="20" t="str">
        <x:v>Hiệu ứng</x:v>
      </x:c>
      <x:c r="C14" s="20" t="str">
        <x:v>Phá toàn bộ quái đối thủ, gồm ô Extra.</x:v>
      </x:c>
      <x:c r="D14" s="19" t="n">
        <x:f>COUNTIF('Danh muc bai'!$N$7:$N$106,A14)</x:f>
        <x:v>1</x:v>
      </x:c>
    </x:row>
    <x:row r="15" ht="52" customHeight="1">
      <x:c r="A15" s="15" t="str">
        <x:v>destroy_attack_position</x:v>
      </x:c>
      <x:c r="B15" s="15" t="str">
        <x:v>Hiệu ứng</x:v>
      </x:c>
      <x:c r="C15" s="15" t="str">
        <x:v>Khi đối thủ tấn công: Bẫy tự lật, phá toàn bộ quái đang ngửa thế công của họ và vô hiệu đòn đánh.</x:v>
      </x:c>
      <x:c r="D15" s="14" t="n">
        <x:f>COUNTIF('Danh muc bai'!$N$7:$N$106,A15)</x:f>
        <x:v>1</x:v>
      </x:c>
    </x:row>
    <x:row r="16" ht="52" customHeight="1">
      <x:c r="A16" s="20" t="str">
        <x:v>destroy_attacker</x:v>
      </x:c>
      <x:c r="B16" s="20" t="str">
        <x:v>Hiệu ứng</x:v>
      </x:c>
      <x:c r="C16" s="20" t="str">
        <x:v>Bẫy phản đòn: phá quái tấn công và vô hiệu đòn đánh.</x:v>
      </x:c>
      <x:c r="D16" s="19" t="n">
        <x:f>COUNTIF('Danh muc bai'!$N$7:$N$106,A16)</x:f>
        <x:v>3</x:v>
      </x:c>
    </x:row>
    <x:row r="17" ht="52" customHeight="1">
      <x:c r="A17" s="15" t="str">
        <x:v>destroy_monster_target</x:v>
      </x:c>
      <x:c r="B17" s="15" t="str">
        <x:v>Hiệu ứng</x:v>
      </x:c>
      <x:c r="C17" s="15" t="str">
        <x:v>Chọn 1 quái đối thủ trên sân, kể cả bài úp hoặc ô Extra, để phá hủy.</x:v>
      </x:c>
      <x:c r="D17" s="14" t="n">
        <x:f>COUNTIF('Danh muc bai'!$N$7:$N$106,A17)</x:f>
        <x:v>2</x:v>
      </x:c>
    </x:row>
    <x:row r="18" ht="52" customHeight="1">
      <x:c r="A18" s="20" t="str">
        <x:v>destroy_spell</x:v>
      </x:c>
      <x:c r="B18" s="20" t="str">
        <x:v>Hiệu ứng</x:v>
      </x:c>
      <x:c r="C18" s="20" t="str">
        <x:v>Phá Phép/Bẫy đầu tiên của đối thủ; Môi Trường sau cùng.</x:v>
      </x:c>
      <x:c r="D18" s="19" t="n">
        <x:f>COUNTIF('Danh muc bai'!$N$7:$N$106,A18)</x:f>
        <x:v>1</x:v>
      </x:c>
    </x:row>
    <x:row r="19" ht="52" customHeight="1">
      <x:c r="A19" s="15" t="str">
        <x:v>destroy_spell_target</x:v>
      </x:c>
      <x:c r="B19" s="15" t="str">
        <x:v>Hiệu ứng</x:v>
      </x:c>
      <x:c r="C19" s="15" t="str">
        <x:v>Chọn 1 Phép/Bẫy đối thủ trên sân, kể cả bài úp hoặc Môi Trường, để phá hủy.</x:v>
      </x:c>
      <x:c r="D19" s="14" t="n">
        <x:f>COUNTIF('Danh muc bai'!$N$7:$N$106,A19)</x:f>
        <x:v>1</x:v>
      </x:c>
    </x:row>
    <x:row r="20" ht="52" customHeight="1">
      <x:c r="A20" s="20" t="str">
        <x:v>discard_n</x:v>
      </x:c>
      <x:c r="B20" s="20" t="str">
        <x:v>Hiệu ứng</x:v>
      </x:c>
      <x:c r="C20" s="20" t="str">
        <x:v>Đối thủ bỏ lá có ATK cao nhất trên tay; hòa: lá bên trái.</x:v>
      </x:c>
      <x:c r="D20" s="19" t="n">
        <x:f>COUNTIF('Danh muc bai'!$N$7:$N$106,A20)</x:f>
        <x:v>2</x:v>
      </x:c>
    </x:row>
    <x:row r="21" ht="52" customHeight="1">
      <x:c r="A21" s="15" t="str">
        <x:v>draw_n</x:v>
      </x:c>
      <x:c r="B21" s="15" t="str">
        <x:v>Hiệu ứng</x:v>
      </x:c>
      <x:c r="C21" s="15" t="str">
        <x:v>Rút số lá bằng giá trị hiệu ứng; hết bài khi rút sẽ thua.</x:v>
      </x:c>
      <x:c r="D21" s="14" t="n">
        <x:f>COUNTIF('Danh muc bai'!$N$7:$N$106,A21)</x:f>
        <x:v>10</x:v>
      </x:c>
    </x:row>
    <x:row r="22" ht="52" customHeight="1">
      <x:c r="A22" s="20" t="str">
        <x:v>equip_atk_n</x:v>
      </x:c>
      <x:c r="B22" s="20" t="str">
        <x:v>Hiệu ứng</x:v>
      </x:c>
      <x:c r="C22" s="20" t="str">
        <x:v>Tăng ATK quái được chọn khi quái còn trên sân.</x:v>
      </x:c>
      <x:c r="D22" s="19" t="n">
        <x:f>COUNTIF('Danh muc bai'!$N$7:$N$106,A22)</x:f>
        <x:v>1</x:v>
      </x:c>
    </x:row>
    <x:row r="23" ht="52" customHeight="1">
      <x:c r="A23" s="15" t="str">
        <x:v>equip_def_n</x:v>
      </x:c>
      <x:c r="B23" s="15" t="str">
        <x:v>Hiệu ứng</x:v>
      </x:c>
      <x:c r="C23" s="15" t="str">
        <x:v>Tăng DEF quái được chọn khi quái còn trên sân.</x:v>
      </x:c>
      <x:c r="D23" s="14" t="n">
        <x:f>COUNTIF('Danh muc bai'!$N$7:$N$106,A23)</x:f>
        <x:v>1</x:v>
      </x:c>
    </x:row>
    <x:row r="24" ht="52" customHeight="1">
      <x:c r="A24" s="20" t="str">
        <x:v>equip_double</x:v>
      </x:c>
      <x:c r="B24" s="20" t="str">
        <x:v>Hiệu ứng</x:v>
      </x:c>
      <x:c r="C24" s="20" t="str">
        <x:v>Cho quái được chọn tối đa 2 lần tấn công mỗi lượt; không cộng dồn số lần.</x:v>
      </x:c>
      <x:c r="D24" s="19" t="n">
        <x:f>COUNTIF('Danh muc bai'!$N$7:$N$106,A24)</x:f>
        <x:v>1</x:v>
      </x:c>
    </x:row>
    <x:row r="25" ht="52" customHeight="1">
      <x:c r="A25" s="15" t="str">
        <x:v>equip_lifesteal</x:v>
      </x:c>
      <x:c r="B25" s="15" t="str">
        <x:v>Hiệu ứng</x:v>
      </x:c>
      <x:c r="C25" s="15" t="str">
        <x:v>Quái được chọn hồi LP bằng sát thương chiến đấu thực tế gây cho đối thủ.</x:v>
      </x:c>
      <x:c r="D25" s="14" t="n">
        <x:f>COUNTIF('Danh muc bai'!$N$7:$N$106,A25)</x:f>
        <x:v>1</x:v>
      </x:c>
    </x:row>
    <x:row r="26" ht="52" customHeight="1">
      <x:c r="A26" s="20" t="str">
        <x:v>equip_pierce</x:v>
      </x:c>
      <x:c r="B26" s="20" t="str">
        <x:v>Hiệu ứng</x:v>
      </x:c>
      <x:c r="C26" s="20" t="str">
        <x:v>Cho quái được chọn sát thương xuyên thủ.</x:v>
      </x:c>
      <x:c r="D26" s="19" t="n">
        <x:f>COUNTIF('Danh muc bai'!$N$7:$N$106,A26)</x:f>
        <x:v>1</x:v>
      </x:c>
    </x:row>
    <x:row r="27" ht="52" customHeight="1">
      <x:c r="A27" s="15" t="str">
        <x:v>field_boost_all</x:v>
      </x:c>
      <x:c r="B27" s="15" t="str">
        <x:v>Hiệu ứng</x:v>
      </x:c>
      <x:c r="C27" s="15" t="str">
        <x:v>Tăng ATK toàn bộ quái mình khi môi trường này còn trên sân.</x:v>
      </x:c>
      <x:c r="D27" s="14" t="n">
        <x:f>COUNTIF('Danh muc bai'!$N$7:$N$106,A27)</x:f>
        <x:v>1</x:v>
      </x:c>
    </x:row>
    <x:row r="28" ht="52" customHeight="1">
      <x:c r="A28" s="20" t="str">
        <x:v>freeze_all</x:v>
      </x:c>
      <x:c r="B28" s="20" t="str">
        <x:v>Hiệu ứng</x:v>
      </x:c>
      <x:c r="C28" s="20" t="str">
        <x:v>Quái đối thủ hiện có không thể tấn công trong lượt kế tiếp của họ.</x:v>
      </x:c>
      <x:c r="D28" s="19" t="n">
        <x:f>COUNTIF('Danh muc bai'!$N$7:$N$106,A28)</x:f>
        <x:v>2</x:v>
      </x:c>
    </x:row>
    <x:row r="29" ht="52" customHeight="1">
      <x:c r="A29" s="15" t="str">
        <x:v>heal_n</x:v>
      </x:c>
      <x:c r="B29" s="15" t="str">
        <x:v>Hiệu ứng</x:v>
      </x:c>
      <x:c r="C29" s="15" t="str">
        <x:v>Hồi LP cho chủ lá bài; tối đa 8000 LP.</x:v>
      </x:c>
      <x:c r="D29" s="14" t="n">
        <x:f>COUNTIF('Danh muc bai'!$N$7:$N$106,A29)</x:f>
        <x:v>7</x:v>
      </x:c>
    </x:row>
    <x:row r="30" ht="52" customHeight="1">
      <x:c r="A30" s="20" t="str">
        <x:v>mill_n</x:v>
      </x:c>
      <x:c r="B30" s="20" t="str">
        <x:v>Hiệu ứng</x:v>
      </x:c>
      <x:c r="C30" s="20" t="str">
        <x:v>Gửi số lá trên cùng bộ bài đối thủ xuống mộ.</x:v>
      </x:c>
      <x:c r="D30" s="19" t="n">
        <x:f>COUNTIF('Danh muc bai'!$N$7:$N$106,A30)</x:f>
        <x:v>1</x:v>
      </x:c>
    </x:row>
    <x:row r="31" ht="52" customHeight="1">
      <x:c r="A31" s="15" t="str">
        <x:v>negate_attack</x:v>
      </x:c>
      <x:c r="B31" s="15" t="str">
        <x:v>Hiệu ứng</x:v>
      </x:c>
      <x:c r="C31" s="15" t="str">
        <x:v>Bẫy phản đòn: vô hiệu đòn tấn công.</x:v>
      </x:c>
      <x:c r="D31" s="14" t="n">
        <x:f>COUNTIF('Danh muc bai'!$N$7:$N$106,A31)</x:f>
        <x:v>1</x:v>
      </x:c>
    </x:row>
    <x:row r="32" ht="52" customHeight="1">
      <x:c r="A32" s="20" t="str">
        <x:v>negate_spell</x:v>
      </x:c>
      <x:c r="B32" s="20" t="str">
        <x:v>Hiệu ứng</x:v>
      </x:c>
      <x:c r="C32" s="20" t="str">
        <x:v>Bẫy phản đòn: vô hiệu Phép đối thủ, gửi cả hai lá xuống mộ; gồm Phép Nghi Lễ.</x:v>
      </x:c>
      <x:c r="D32" s="19" t="n">
        <x:f>COUNTIF('Danh muc bai'!$N$7:$N$106,A32)</x:f>
        <x:v>1</x:v>
      </x:c>
    </x:row>
    <x:row r="33" ht="52" customHeight="1">
      <x:c r="A33" s="15" t="str">
        <x:v>recover_grave</x:v>
      </x:c>
      <x:c r="B33" s="15" t="str">
        <x:v>Hiệu ứng</x:v>
      </x:c>
      <x:c r="C33" s="15" t="str">
        <x:v>Lấy lá Phép gần nhất trong mộ lên tay, trừ chính lá đang kích hoạt.</x:v>
      </x:c>
      <x:c r="D33" s="14" t="n">
        <x:f>COUNTIF('Danh muc bai'!$N$7:$N$106,A33)</x:f>
        <x:v>2</x:v>
      </x:c>
    </x:row>
    <x:row r="34" ht="52" customHeight="1">
      <x:c r="A34" s="20" t="str">
        <x:v>reflect_attack</x:v>
      </x:c>
      <x:c r="B34" s="20" t="str">
        <x:v>Hiệu ứng</x:v>
      </x:c>
      <x:c r="C34" s="20" t="str">
        <x:v>Bẫy phản đòn: vô hiệu đòn đánh và gây sát thương LP cho bên tấn công.</x:v>
      </x:c>
      <x:c r="D34" s="19" t="n">
        <x:f>COUNTIF('Danh muc bai'!$N$7:$N$106,A34)</x:f>
        <x:v>1</x:v>
      </x:c>
    </x:row>
    <x:row r="35" ht="52" customHeight="1">
      <x:c r="A35" s="15" t="str">
        <x:v>revive</x:v>
      </x:c>
      <x:c r="B35" s="15" t="str">
        <x:v>Hiệu ứng</x:v>
      </x:c>
      <x:c r="C35" s="15" t="str">
        <x:v>Hồi sinh quái 4 sao trở xuống mạnh nhất trong mộ vào ô thường trống, thế thủ; không kích hoạt khi triệu hồi.</x:v>
      </x:c>
      <x:c r="D35" s="14" t="n">
        <x:f>COUNTIF('Danh muc bai'!$N$7:$N$106,A35)</x:f>
        <x:v>4</x:v>
      </x:c>
    </x:row>
    <x:row r="36" ht="52" customHeight="1">
      <x:c r="A36" s="20" t="str">
        <x:v>search_monster</x:v>
      </x:c>
      <x:c r="B36" s="20" t="str">
        <x:v>Hiệu ứng</x:v>
      </x:c>
      <x:c r="C36" s="20" t="str">
        <x:v>Lấy quái 4 sao trở xuống có ATK cao nhất từ bộ bài lên tay rồi xáo bài.</x:v>
      </x:c>
      <x:c r="D36" s="19" t="n">
        <x:f>COUNTIF('Danh muc bai'!$N$7:$N$106,A36)</x:f>
        <x:v>2</x:v>
      </x:c>
    </x:row>
    <x:row r="37" ht="52" customHeight="1">
      <x:c r="A37" s="15" t="str">
        <x:v>search_spell</x:v>
      </x:c>
      <x:c r="B37" s="15" t="str">
        <x:v>Hiệu ứng</x:v>
      </x:c>
      <x:c r="C37" s="15" t="str">
        <x:v>Lấy lá Phép đầu tiên từ bộ bài lên tay rồi xáo bài.</x:v>
      </x:c>
      <x:c r="D37" s="14" t="n">
        <x:f>COUNTIF('Danh muc bai'!$N$7:$N$106,A37)</x:f>
        <x:v>2</x:v>
      </x:c>
    </x:row>
    <x:row r="38" ht="52" customHeight="1">
      <x:c r="A38" s="20" t="str">
        <x:v>shield_n</x:v>
      </x:c>
      <x:c r="B38" s="20" t="str">
        <x:v>Hiệu ứng</x:v>
      </x:c>
      <x:c r="C38" s="20" t="str">
        <x:v>Tạo khiên hấp thụ tổng sát thương LP bằng giá trị; tồn tại đến khi dùng hết.</x:v>
      </x:c>
      <x:c r="D38" s="19" t="n">
        <x:f>COUNTIF('Danh muc bai'!$N$7:$N$106,A38)</x:f>
        <x:v>4</x:v>
      </x:c>
    </x:row>
    <x:row r="39" ht="52" customHeight="1">
      <x:c r="A39" s="15" t="str">
        <x:v>summon_tokens</x:v>
      </x:c>
      <x:c r="B39" s="15" t="str">
        <x:v>Hiệu ứng</x:v>
      </x:c>
      <x:c r="C39" s="15" t="str">
        <x:v>Gọi Lính Gác Giấy 500 ATK / 700 DEF vào ô trống, thế thủ; token không vào mộ hoặc lên tay.</x:v>
      </x:c>
      <x:c r="D39" s="14" t="n">
        <x:f>COUNTIF('Danh muc bai'!$N$7:$N$106,A39)</x:f>
        <x:v>1</x:v>
      </x:c>
    </x:row>
    <x:row r="40" ht="52" customHeight="1">
      <x:c r="A40" s="20" t="str">
        <x:v>swap_stats</x:v>
      </x:c>
      <x:c r="B40" s="20" t="str">
        <x:v>Hiệu ứng</x:v>
      </x:c>
      <x:c r="C40" s="20" t="str">
        <x:v>Đảo ATK/DEF gốc của quái mạnh nhất bên mình khi quái còn trên sân.</x:v>
      </x:c>
      <x:c r="D40" s="19" t="n">
        <x:f>COUNTIF('Danh muc bai'!$N$7:$N$106,A40)</x:f>
        <x:v>1</x:v>
      </x:c>
    </x:row>
    <x:row r="41" ht="52" customHeight="1">
      <x:c r="A41" s="15" t="str">
        <x:v>weaken_all</x:v>
      </x:c>
      <x:c r="B41" s="15" t="str">
        <x:v>Hiệu ứng</x:v>
      </x:c>
      <x:c r="C41" s="15" t="str">
        <x:v>Giảm ATK toàn bộ quái đối thủ đến hết lượt hiện tại; không âm.</x:v>
      </x:c>
      <x:c r="D41" s="14" t="n">
        <x:f>COUNTIF('Danh muc bai'!$N$7:$N$106,A41)</x:f>
        <x:v>2</x:v>
      </x:c>
    </x:row>
    <x:row r="42" ht="52" customHeight="1">
      <x:c r="A42" s="20" t="str">
        <x:v>weaken_attacker</x:v>
      </x:c>
      <x:c r="B42" s="20" t="str">
        <x:v>Hiệu ứng</x:v>
      </x:c>
      <x:c r="C42" s="20" t="str">
        <x:v>Bẫy phản đòn: giảm ATK quái tấn công đến hết lượt, trận đánh tiếp tục.</x:v>
      </x:c>
      <x:c r="D42" s="19" t="n">
        <x:f>COUNTIF('Danh muc bai'!$N$7:$N$106,A42)</x:f>
        <x:v>1</x:v>
      </x:c>
    </x:row>
    <x:row r="43" ht="52" customHeight="1">
      <x:c r="A43" s="15" t="str">
        <x:v>double_attack</x:v>
      </x:c>
      <x:c r="B43" s="15" t="str">
        <x:v>Đặc tính</x:v>
      </x:c>
      <x:c r="C43" s="15" t="str">
        <x:v>Tấn công tối đa 2 lần mỗi lượt.</x:v>
      </x:c>
      <x:c r="D43" s="14" t="n">
        <x:f>COUNTIF('Danh muc bai'!$Q$7:$Q$106,A43)</x:f>
        <x:v>2</x:v>
      </x:c>
    </x:row>
    <x:row r="44" ht="52" customHeight="1">
      <x:c r="A44" s="20" t="str">
        <x:v>piercing</x:v>
      </x:c>
      <x:c r="B44" s="20" t="str">
        <x:v>Đặc tính</x:v>
      </x:c>
      <x:c r="C44" s="20" t="str">
        <x:v>Đánh quái thế thủ gây sát thương bằng chênh lệch ATK &gt; DEF.</x:v>
      </x:c>
      <x:c r="D44" s="19" t="n">
        <x:f>COUNTIF('Danh muc bai'!$Q$7:$Q$106,A44)</x:f>
        <x:v>3</x:v>
      </x:c>
    </x:row>
    <x:row r="45" ht="52" customHeight="1">
      <x:c r="A45" s="15" t="str">
        <x:v>lifesteal</x:v>
      </x:c>
      <x:c r="B45" s="15" t="str">
        <x:v>Đặc tính</x:v>
      </x:c>
      <x:c r="C45" s="15" t="str">
        <x:v>Hồi LP bằng sát thương chiến đấu thực tế gây cho đối thủ.</x:v>
      </x:c>
      <x:c r="D45" s="14" t="n">
        <x:f>COUNTIF('Danh muc bai'!$Q$7:$Q$106,A45)</x:f>
        <x:v>1</x:v>
      </x:c>
    </x:row>
    <x:row r="46" ht="52" customHeight="1">
      <x:c r="A46" s="20" t="str">
        <x:v>battle_resist</x:v>
      </x:c>
      <x:c r="B46" s="20" t="str">
        <x:v>Đặc tính</x:v>
      </x:c>
      <x:c r="C46" s="20" t="str">
        <x:v>Mỗi lượt được bảo vệ khỏi lần đầu bị phá hủy trong chiến đấu.</x:v>
      </x:c>
      <x:c r="D46" s="19" t="n">
        <x:f>COUNTIF('Danh muc bai'!$Q$7:$Q$106,A46)</x:f>
        <x:v>2</x:v>
      </x:c>
    </x:row>
  </x:sheetData>
  <x:mergeCells>
    <x:mergeCell ref="A1:D1"/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938088fed43a4bea"/>
  </x:tableParts>
</x:worksheet>
</file>